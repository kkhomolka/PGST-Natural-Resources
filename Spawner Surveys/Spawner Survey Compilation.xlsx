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"/>
    </mc:Choice>
  </mc:AlternateContent>
  <xr:revisionPtr revIDLastSave="0" documentId="13_ncr:1_{BAD0B84A-E076-48AC-ACD3-F0C1BC14AAB0}" xr6:coauthVersionLast="47" xr6:coauthVersionMax="47" xr10:uidLastSave="{00000000-0000-0000-0000-000000000000}"/>
  <bookViews>
    <workbookView xWindow="-28920" yWindow="-120" windowWidth="29040" windowHeight="15840" activeTab="4" xr2:uid="{E1DF19B8-BF86-457A-887D-E086A77C0206}"/>
  </bookViews>
  <sheets>
    <sheet name="Total Species Abundance" sheetId="5" r:id="rId1"/>
    <sheet name="Live Species Abundance" sheetId="1" r:id="rId2"/>
    <sheet name="Dead Species Abundance" sheetId="4" r:id="rId3"/>
    <sheet name="Run Duration" sheetId="2" r:id="rId4"/>
    <sheet name="Water Qualit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5" i="2"/>
  <c r="E4" i="2"/>
  <c r="E3" i="2"/>
  <c r="E2" i="2"/>
  <c r="L25" i="5"/>
  <c r="K25" i="5"/>
  <c r="J25" i="5"/>
  <c r="I25" i="5"/>
  <c r="H25" i="5"/>
  <c r="E25" i="5"/>
  <c r="D22" i="5"/>
  <c r="C22" i="5"/>
  <c r="B22" i="5"/>
  <c r="B21" i="5"/>
  <c r="D20" i="5"/>
  <c r="G19" i="5"/>
  <c r="G25" i="5" s="1"/>
  <c r="F19" i="5"/>
  <c r="D19" i="5"/>
  <c r="C19" i="5"/>
  <c r="B19" i="5"/>
  <c r="D18" i="5"/>
  <c r="C18" i="5"/>
  <c r="B18" i="5"/>
  <c r="D17" i="5"/>
  <c r="C17" i="5"/>
  <c r="F16" i="5"/>
  <c r="F25" i="5" s="1"/>
  <c r="D16" i="5"/>
  <c r="D25" i="5" s="1"/>
  <c r="C16" i="5"/>
  <c r="C25" i="5" s="1"/>
  <c r="B16" i="5"/>
  <c r="B25" i="5" s="1"/>
  <c r="L13" i="5"/>
  <c r="K13" i="5"/>
  <c r="J13" i="5"/>
  <c r="I13" i="5"/>
  <c r="H13" i="5"/>
  <c r="G13" i="5"/>
  <c r="E13" i="5"/>
  <c r="F10" i="5"/>
  <c r="E10" i="5"/>
  <c r="D10" i="5"/>
  <c r="C10" i="5"/>
  <c r="C9" i="5"/>
  <c r="F8" i="5"/>
  <c r="E8" i="5"/>
  <c r="C8" i="5"/>
  <c r="B8" i="5"/>
  <c r="B13" i="5" s="1"/>
  <c r="F7" i="5"/>
  <c r="E7" i="5"/>
  <c r="D7" i="5"/>
  <c r="C7" i="5"/>
  <c r="B7" i="5"/>
  <c r="F6" i="5"/>
  <c r="D6" i="5"/>
  <c r="D13" i="5" s="1"/>
  <c r="F5" i="5"/>
  <c r="E5" i="5"/>
  <c r="D5" i="5"/>
  <c r="C5" i="5"/>
  <c r="C13" i="5" s="1"/>
  <c r="F4" i="5"/>
  <c r="F13" i="5" s="1"/>
  <c r="E4" i="5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<sst xmlns="http://schemas.openxmlformats.org/spreadsheetml/2006/main" count="2191" uniqueCount="196">
  <si>
    <t>Date</t>
  </si>
  <si>
    <t>Stream</t>
  </si>
  <si>
    <t>Surveyors</t>
  </si>
  <si>
    <t>Water Temp</t>
  </si>
  <si>
    <t>DO %</t>
  </si>
  <si>
    <t>DO mg/L</t>
  </si>
  <si>
    <t>Conductivity</t>
  </si>
  <si>
    <t>Conductance</t>
  </si>
  <si>
    <t>Salinity ppt</t>
  </si>
  <si>
    <t>Air Temp</t>
  </si>
  <si>
    <t>sb, jp</t>
  </si>
  <si>
    <t>sb, jp, js</t>
  </si>
  <si>
    <t>jp, c</t>
  </si>
  <si>
    <t>jp cj</t>
  </si>
  <si>
    <t>sb, jp, cj</t>
  </si>
  <si>
    <t>jp, sb</t>
  </si>
  <si>
    <t>jp,js</t>
  </si>
  <si>
    <t>harding</t>
  </si>
  <si>
    <t>Harding</t>
  </si>
  <si>
    <t>jp, m</t>
  </si>
  <si>
    <t>jp,mr,ha</t>
  </si>
  <si>
    <t>jp, mr</t>
  </si>
  <si>
    <t>jp,js,mr</t>
  </si>
  <si>
    <t>Jp, m</t>
  </si>
  <si>
    <t>jp, js</t>
  </si>
  <si>
    <t>martha john</t>
  </si>
  <si>
    <t>sb, jp, js, MR</t>
  </si>
  <si>
    <t>jp, js, sb</t>
  </si>
  <si>
    <t>sb ,jp</t>
  </si>
  <si>
    <t>sb, js, jp, mr</t>
  </si>
  <si>
    <t>Shine</t>
  </si>
  <si>
    <t>6.6ms</t>
  </si>
  <si>
    <t>thomas</t>
  </si>
  <si>
    <t>jp. js</t>
  </si>
  <si>
    <t>Thomas</t>
  </si>
  <si>
    <t>thomas1st</t>
  </si>
  <si>
    <t>thomas2nd</t>
  </si>
  <si>
    <t>sb, jp mr, h</t>
  </si>
  <si>
    <t>sb, js</t>
  </si>
  <si>
    <t>sb, jp, mr, h</t>
  </si>
  <si>
    <t>Cougar Kinman</t>
  </si>
  <si>
    <t>Ludlow</t>
  </si>
  <si>
    <t>Martha John</t>
  </si>
  <si>
    <t>Middle Creek</t>
  </si>
  <si>
    <t>Shipbuilders</t>
  </si>
  <si>
    <t>Shine Estuary</t>
  </si>
  <si>
    <t>Thomas upstream</t>
  </si>
  <si>
    <t>Thomas1st</t>
  </si>
  <si>
    <t>Thomas2nd</t>
  </si>
  <si>
    <t>Thorndyke</t>
  </si>
  <si>
    <t>Thorndyke 1st</t>
  </si>
  <si>
    <t>Thorndyke 2nd</t>
  </si>
  <si>
    <t>Thorndyke1st</t>
  </si>
  <si>
    <t>Thorndyke2nd</t>
  </si>
  <si>
    <t>Stream Name</t>
  </si>
  <si>
    <t>Species</t>
  </si>
  <si>
    <t>Live Females</t>
  </si>
  <si>
    <t>Live Jacks</t>
  </si>
  <si>
    <t>Live Males</t>
  </si>
  <si>
    <t>Live Unknown</t>
  </si>
  <si>
    <t>TOTAL LIVE</t>
  </si>
  <si>
    <t>Thorndyke 1</t>
  </si>
  <si>
    <t>coho</t>
  </si>
  <si>
    <t>Thorndyke 2</t>
  </si>
  <si>
    <t>cutthroat</t>
  </si>
  <si>
    <t>jp, cj</t>
  </si>
  <si>
    <t>chum</t>
  </si>
  <si>
    <t>Thondyke 2</t>
  </si>
  <si>
    <t>jp,sb</t>
  </si>
  <si>
    <t>jp,mr.ha</t>
  </si>
  <si>
    <t>jp, mr, ha</t>
  </si>
  <si>
    <t>jp, mt</t>
  </si>
  <si>
    <t>Dead Male Coho</t>
  </si>
  <si>
    <t>Dead Jack Coho</t>
  </si>
  <si>
    <t>Dead Female Coho</t>
  </si>
  <si>
    <t>Dead Unknown Coho</t>
  </si>
  <si>
    <t>10/28/20/2022</t>
  </si>
  <si>
    <t>Dead Male Chum</t>
  </si>
  <si>
    <t>Dead Female Chum</t>
  </si>
  <si>
    <t>Dead Unknown Chum</t>
  </si>
  <si>
    <t xml:space="preserve">Thorndyke 2 </t>
  </si>
  <si>
    <t>Total live and dead fish</t>
  </si>
  <si>
    <t>Chum</t>
  </si>
  <si>
    <t>Middle</t>
  </si>
  <si>
    <t>Coho</t>
  </si>
  <si>
    <t>SUM</t>
  </si>
  <si>
    <t>Start date</t>
  </si>
  <si>
    <t xml:space="preserve">End date </t>
  </si>
  <si>
    <t>Modified end date</t>
  </si>
  <si>
    <t xml:space="preserve">Duration </t>
  </si>
  <si>
    <t>Thorndyke unmarked</t>
  </si>
  <si>
    <t>Thorndyke marked</t>
  </si>
  <si>
    <t>Thorndyke all</t>
  </si>
  <si>
    <t>Shine unmarked</t>
  </si>
  <si>
    <t>Shine marked</t>
  </si>
  <si>
    <t>Shine all</t>
  </si>
  <si>
    <t>Martha John unmarked</t>
  </si>
  <si>
    <t>Martha John marked</t>
  </si>
  <si>
    <t>Martha John all</t>
  </si>
  <si>
    <t>Surveyer 1</t>
  </si>
  <si>
    <t>Start Time</t>
  </si>
  <si>
    <t>End Time</t>
  </si>
  <si>
    <t>Flow</t>
  </si>
  <si>
    <t>Fish Seen</t>
  </si>
  <si>
    <t>Visibility</t>
  </si>
  <si>
    <t>Percent Seen</t>
  </si>
  <si>
    <t>Air Temp 2</t>
  </si>
  <si>
    <t>DO % 2</t>
  </si>
  <si>
    <t>DO mg/l</t>
  </si>
  <si>
    <t>DO mg/L 2</t>
  </si>
  <si>
    <t>pH</t>
  </si>
  <si>
    <t>pH 2</t>
  </si>
  <si>
    <t>pH Water Temp</t>
  </si>
  <si>
    <t>pH Water Temp 2</t>
  </si>
  <si>
    <t>Salinity</t>
  </si>
  <si>
    <t>Salinity 2</t>
  </si>
  <si>
    <t>Specific Conductivity</t>
  </si>
  <si>
    <t>Specifc Conductivity 2</t>
  </si>
  <si>
    <t>Specific Conductivity Corrected</t>
  </si>
  <si>
    <t>Specific Conductivity Corrected 2</t>
  </si>
  <si>
    <t>Water Temp 2</t>
  </si>
  <si>
    <t>Comments</t>
  </si>
  <si>
    <t>Item Type</t>
  </si>
  <si>
    <t>Path</t>
  </si>
  <si>
    <t>Heather</t>
  </si>
  <si>
    <t>Low</t>
  </si>
  <si>
    <t>No</t>
  </si>
  <si>
    <t>Good</t>
  </si>
  <si>
    <t>Item</t>
  </si>
  <si>
    <t>sites/MassMarkingProgram2/Lists/Stream Survey Water Quality</t>
  </si>
  <si>
    <t>Mid</t>
  </si>
  <si>
    <t>Ok</t>
  </si>
  <si>
    <t>Poor</t>
  </si>
  <si>
    <t>Excellent</t>
  </si>
  <si>
    <t>Adult cutthroat trout seen in lower stream reach</t>
  </si>
  <si>
    <t>Need to survey above culvert</t>
  </si>
  <si>
    <t>Emily</t>
  </si>
  <si>
    <t xml:space="preserve">Emily </t>
  </si>
  <si>
    <t>Yes</t>
  </si>
  <si>
    <t>Only found a gill plate but we did sample it</t>
  </si>
  <si>
    <t>Start/end time were not recorded, so they were estimated during data entry</t>
  </si>
  <si>
    <t>Many juvenile coho throughout both reaches</t>
  </si>
  <si>
    <t>Very Low</t>
  </si>
  <si>
    <t>Lots of beaver activity</t>
  </si>
  <si>
    <t>Had to pause partway through to move our cars, but we are confident in our fish count</t>
  </si>
  <si>
    <t xml:space="preserve">Increasing beaver activity. Several dams midway through this reach. </t>
  </si>
  <si>
    <t xml:space="preserve">First survey since the nearby timber harvest. The stream appears unaffected.  </t>
  </si>
  <si>
    <t>Very High</t>
  </si>
  <si>
    <t>Road was flooded when we got there. County crews were cleaning it out as we were finishing the survey. Water was thigh-waist high in the upper stretch.</t>
  </si>
  <si>
    <t>High</t>
  </si>
  <si>
    <t xml:space="preserve">We saw an otter dragging a coho carcass under some tree roots. We weren't able to sample the carcass. </t>
  </si>
  <si>
    <t xml:space="preserve">Splashing sounds in the culvert. 3 female carcassas and 7 male carcasses in upper reach. </t>
  </si>
  <si>
    <t>Had to break partway through to check on our cars</t>
  </si>
  <si>
    <t>1 small female coho jaw</t>
  </si>
  <si>
    <t>WQ at the bridge. More turbid than Martha John, no fish above the log jam just below the bridge.</t>
  </si>
  <si>
    <t>Evidence of landslides during the heavy rains last week</t>
  </si>
  <si>
    <t>Water is a tad silty but visibility is still good</t>
  </si>
  <si>
    <t>Very high flood in the last several days</t>
  </si>
  <si>
    <t>The rain blew out the beaver dam</t>
  </si>
  <si>
    <t>Very flooded in the last several days</t>
  </si>
  <si>
    <t xml:space="preserve">Low </t>
  </si>
  <si>
    <t xml:space="preserve">DryLow </t>
  </si>
  <si>
    <t>Thorndyke Supp 1</t>
  </si>
  <si>
    <t>Fair</t>
  </si>
  <si>
    <t>Julianna, Emily B</t>
  </si>
  <si>
    <t xml:space="preserve">Upper 1/4th was totally dry, lots of eggs near the stream </t>
  </si>
  <si>
    <t>Evidence of more fish... eggs and small pieces of remains, and 2-3 redds</t>
  </si>
  <si>
    <t>Julianna, Mike</t>
  </si>
  <si>
    <t>Evidence of fish but nothing fresh</t>
  </si>
  <si>
    <t>No evidence of fish in creek or in the estuary</t>
  </si>
  <si>
    <t>Lots of eggs and evidence of fish</t>
  </si>
  <si>
    <t>Landowner says he has been hearing coho coming in at night</t>
  </si>
  <si>
    <t xml:space="preserve">Thorndyke </t>
  </si>
  <si>
    <t>Thomas Supp</t>
  </si>
  <si>
    <t>Julianna, Emily B, Emily H</t>
  </si>
  <si>
    <t>Thordyke Trib</t>
  </si>
  <si>
    <t>Julianna, Hans</t>
  </si>
  <si>
    <t>Flood</t>
  </si>
  <si>
    <t>Very Poor</t>
  </si>
  <si>
    <t>Because of safety concerns, on main channel the trib was surveyed instead. WQ taken at 47.824199, -122.747704</t>
  </si>
  <si>
    <t>Emily B, Hans</t>
  </si>
  <si>
    <t xml:space="preserve">There appears to be no recent beaver activity, as there is a breach in the dam. Water from the tributary was much more cloudy than water coming from the wetland. </t>
  </si>
  <si>
    <t>Emily B</t>
  </si>
  <si>
    <t>Due to flood conditions, WQ was taken just short of the usual waterfall spot</t>
  </si>
  <si>
    <t>Emily B, Nikki</t>
  </si>
  <si>
    <t>Water is much clearer and lower than previous weeks</t>
  </si>
  <si>
    <t>Emily B, Emily H</t>
  </si>
  <si>
    <t>Went above survey area, observed chum and coho</t>
  </si>
  <si>
    <t>Very High Tide</t>
  </si>
  <si>
    <t>Julianna, Emily H</t>
  </si>
  <si>
    <t>Emily H, Nikki</t>
  </si>
  <si>
    <t xml:space="preserve"> Mid</t>
  </si>
  <si>
    <t>WQ collected at end of stream survey length</t>
  </si>
  <si>
    <t>Shine Trib</t>
  </si>
  <si>
    <t>Didn't walk full length of main</t>
  </si>
  <si>
    <t>One very decayed jaw at mouth, unknown species/sex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</si>
</sst>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yyyy\-mm\-dd;@"/>
    <numFmt numFmtId="167" formatCode="mm/dd/yyyy"/>
    <numFmt numFmtId="168" formatCode="m/d/yy"/>
    <numFmt numFmtId="175" formatCode="[h]&quot;:&quot;mm&quot;:&quot;ss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Verdana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3" fillId="2" borderId="0" xfId="0" applyNumberFormat="1" applyFont="1" applyFill="1" applyAlignment="1">
      <alignment horizontal="center"/>
    </xf>
    <xf numFmtId="14" fontId="0" fillId="0" borderId="0" xfId="0" applyNumberFormat="1"/>
    <xf numFmtId="166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/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right" vertical="top"/>
    </xf>
    <xf numFmtId="167" fontId="6" fillId="3" borderId="0" xfId="0" applyNumberFormat="1" applyFont="1" applyFill="1" applyAlignment="1">
      <alignment vertical="top"/>
    </xf>
    <xf numFmtId="49" fontId="6" fillId="3" borderId="0" xfId="0" applyNumberFormat="1" applyFont="1" applyFill="1" applyAlignment="1">
      <alignment vertical="top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7" fillId="3" borderId="0" xfId="0" applyFont="1" applyFill="1"/>
    <xf numFmtId="14" fontId="6" fillId="3" borderId="0" xfId="0" applyNumberFormat="1" applyFont="1" applyFill="1"/>
    <xf numFmtId="167" fontId="6" fillId="4" borderId="0" xfId="0" applyNumberFormat="1" applyFont="1" applyFill="1" applyAlignment="1">
      <alignment vertical="top"/>
    </xf>
    <xf numFmtId="49" fontId="6" fillId="4" borderId="0" xfId="0" applyNumberFormat="1" applyFont="1" applyFill="1" applyAlignment="1">
      <alignment vertical="top"/>
    </xf>
    <xf numFmtId="0" fontId="6" fillId="4" borderId="0" xfId="0" applyFont="1" applyFill="1"/>
    <xf numFmtId="0" fontId="6" fillId="4" borderId="0" xfId="0" applyFont="1" applyFill="1" applyAlignment="1">
      <alignment vertical="top"/>
    </xf>
    <xf numFmtId="0" fontId="7" fillId="4" borderId="0" xfId="0" applyFont="1" applyFill="1"/>
    <xf numFmtId="167" fontId="6" fillId="5" borderId="0" xfId="0" applyNumberFormat="1" applyFont="1" applyFill="1" applyAlignment="1">
      <alignment vertical="top"/>
    </xf>
    <xf numFmtId="49" fontId="6" fillId="5" borderId="0" xfId="0" applyNumberFormat="1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6" fillId="5" borderId="0" xfId="0" applyFont="1" applyFill="1"/>
    <xf numFmtId="0" fontId="7" fillId="5" borderId="0" xfId="0" applyFont="1" applyFill="1"/>
    <xf numFmtId="167" fontId="6" fillId="6" borderId="0" xfId="0" applyNumberFormat="1" applyFont="1" applyFill="1" applyAlignment="1">
      <alignment vertical="top"/>
    </xf>
    <xf numFmtId="49" fontId="6" fillId="6" borderId="0" xfId="0" applyNumberFormat="1" applyFont="1" applyFill="1" applyAlignment="1">
      <alignment vertical="top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7" fillId="6" borderId="0" xfId="0" applyFont="1" applyFill="1"/>
    <xf numFmtId="167" fontId="6" fillId="7" borderId="0" xfId="0" applyNumberFormat="1" applyFont="1" applyFill="1" applyAlignment="1">
      <alignment vertical="top"/>
    </xf>
    <xf numFmtId="49" fontId="6" fillId="7" borderId="0" xfId="0" applyNumberFormat="1" applyFont="1" applyFill="1" applyAlignment="1">
      <alignment vertical="top"/>
    </xf>
    <xf numFmtId="0" fontId="6" fillId="7" borderId="0" xfId="0" applyFont="1" applyFill="1" applyAlignment="1">
      <alignment vertical="top"/>
    </xf>
    <xf numFmtId="0" fontId="6" fillId="7" borderId="0" xfId="0" applyFont="1" applyFill="1"/>
    <xf numFmtId="0" fontId="7" fillId="7" borderId="0" xfId="0" applyFont="1" applyFill="1"/>
    <xf numFmtId="167" fontId="6" fillId="8" borderId="0" xfId="0" applyNumberFormat="1" applyFont="1" applyFill="1" applyAlignment="1">
      <alignment vertical="top"/>
    </xf>
    <xf numFmtId="49" fontId="6" fillId="8" borderId="0" xfId="0" applyNumberFormat="1" applyFont="1" applyFill="1" applyAlignment="1">
      <alignment vertical="top"/>
    </xf>
    <xf numFmtId="0" fontId="6" fillId="8" borderId="0" xfId="0" applyFont="1" applyFill="1"/>
    <xf numFmtId="0" fontId="6" fillId="8" borderId="0" xfId="0" applyFont="1" applyFill="1" applyAlignment="1">
      <alignment vertical="top"/>
    </xf>
    <xf numFmtId="0" fontId="7" fillId="8" borderId="0" xfId="0" applyFont="1" applyFill="1"/>
    <xf numFmtId="14" fontId="6" fillId="8" borderId="0" xfId="0" applyNumberFormat="1" applyFont="1" applyFill="1"/>
    <xf numFmtId="14" fontId="8" fillId="0" borderId="0" xfId="0" applyNumberFormat="1" applyFont="1"/>
    <xf numFmtId="0" fontId="8" fillId="0" borderId="0" xfId="0" applyFont="1"/>
    <xf numFmtId="14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168" fontId="8" fillId="0" borderId="0" xfId="0" applyNumberFormat="1" applyFont="1"/>
    <xf numFmtId="0" fontId="9" fillId="0" borderId="0" xfId="0" applyFont="1"/>
    <xf numFmtId="0" fontId="10" fillId="0" borderId="0" xfId="0" applyFont="1"/>
    <xf numFmtId="16" fontId="9" fillId="0" borderId="0" xfId="0" applyNumberFormat="1" applyFont="1"/>
    <xf numFmtId="166" fontId="9" fillId="0" borderId="0" xfId="0" applyNumberFormat="1" applyFont="1"/>
    <xf numFmtId="166" fontId="9" fillId="0" borderId="0" xfId="0" applyNumberFormat="1" applyFont="1" applyAlignment="1">
      <alignment horizontal="center"/>
    </xf>
    <xf numFmtId="0" fontId="11" fillId="9" borderId="0" xfId="0" applyFont="1" applyFill="1"/>
    <xf numFmtId="14" fontId="12" fillId="10" borderId="0" xfId="0" applyNumberFormat="1" applyFont="1" applyFill="1"/>
    <xf numFmtId="0" fontId="12" fillId="10" borderId="0" xfId="0" applyFont="1" applyFill="1"/>
    <xf numFmtId="18" fontId="12" fillId="10" borderId="0" xfId="0" applyNumberFormat="1" applyFont="1" applyFill="1"/>
    <xf numFmtId="0" fontId="12" fillId="0" borderId="0" xfId="0" applyFont="1"/>
    <xf numFmtId="14" fontId="12" fillId="0" borderId="0" xfId="0" applyNumberFormat="1" applyFont="1"/>
    <xf numFmtId="18" fontId="12" fillId="0" borderId="0" xfId="0" applyNumberFormat="1" applyFont="1"/>
    <xf numFmtId="20" fontId="12" fillId="10" borderId="0" xfId="0" applyNumberFormat="1" applyFont="1" applyFill="1"/>
    <xf numFmtId="20" fontId="12" fillId="0" borderId="0" xfId="0" applyNumberFormat="1" applyFont="1"/>
    <xf numFmtId="0" fontId="12" fillId="10" borderId="0" xfId="0" applyFont="1" applyFill="1"/>
    <xf numFmtId="0" fontId="12" fillId="0" borderId="0" xfId="0" applyFont="1"/>
    <xf numFmtId="0" fontId="13" fillId="0" borderId="0" xfId="0" applyFont="1" applyAlignment="1">
      <alignment horizontal="center" vertical="top"/>
    </xf>
    <xf numFmtId="0" fontId="14" fillId="0" borderId="0" xfId="0" applyFont="1"/>
    <xf numFmtId="14" fontId="14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21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7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7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927A-03EE-47CA-93E0-CDBFC83719A6}">
  <dimension ref="A1:M25"/>
  <sheetViews>
    <sheetView workbookViewId="0">
      <selection activeCell="O7" sqref="O7"/>
    </sheetView>
  </sheetViews>
  <sheetFormatPr defaultRowHeight="15" x14ac:dyDescent="0.25"/>
  <sheetData>
    <row r="1" spans="1:13" x14ac:dyDescent="0.25">
      <c r="A1" s="51" t="s">
        <v>81</v>
      </c>
    </row>
    <row r="3" spans="1:13" x14ac:dyDescent="0.25">
      <c r="A3" s="52" t="s">
        <v>82</v>
      </c>
      <c r="B3" s="52">
        <v>2012</v>
      </c>
      <c r="C3" s="52">
        <v>2013</v>
      </c>
      <c r="D3" s="52">
        <v>2014</v>
      </c>
      <c r="E3" s="52">
        <v>2015</v>
      </c>
      <c r="F3" s="52">
        <v>2016</v>
      </c>
      <c r="G3" s="52">
        <v>2017</v>
      </c>
      <c r="H3" s="52">
        <v>2018</v>
      </c>
      <c r="I3" s="52">
        <v>2019</v>
      </c>
      <c r="J3" s="52">
        <v>2020</v>
      </c>
      <c r="K3" s="52">
        <v>2021</v>
      </c>
      <c r="L3" s="52">
        <v>2022</v>
      </c>
      <c r="M3" s="52">
        <v>2023</v>
      </c>
    </row>
    <row r="4" spans="1:13" x14ac:dyDescent="0.25">
      <c r="A4" s="51" t="s">
        <v>41</v>
      </c>
      <c r="C4" s="51">
        <v>0</v>
      </c>
      <c r="D4" s="51">
        <v>1</v>
      </c>
      <c r="E4" s="51">
        <f>10</f>
        <v>10</v>
      </c>
      <c r="F4" s="51">
        <f>3+19</f>
        <v>22</v>
      </c>
      <c r="G4" s="51">
        <v>0</v>
      </c>
      <c r="H4" s="51">
        <v>0</v>
      </c>
      <c r="I4" s="51">
        <v>0</v>
      </c>
      <c r="J4">
        <v>0</v>
      </c>
      <c r="K4" s="51">
        <v>0</v>
      </c>
      <c r="L4" s="51">
        <v>0</v>
      </c>
    </row>
    <row r="5" spans="1:13" x14ac:dyDescent="0.25">
      <c r="A5" s="51" t="s">
        <v>40</v>
      </c>
      <c r="B5" s="51">
        <v>0</v>
      </c>
      <c r="C5" s="51">
        <f>14+20</f>
        <v>34</v>
      </c>
      <c r="D5" s="51">
        <f>3+2</f>
        <v>5</v>
      </c>
      <c r="E5" s="51">
        <f>13+22</f>
        <v>35</v>
      </c>
      <c r="F5" s="51">
        <f>30+4</f>
        <v>34</v>
      </c>
      <c r="G5" s="51">
        <v>0</v>
      </c>
      <c r="H5" s="51">
        <v>2</v>
      </c>
      <c r="I5" s="51">
        <v>0</v>
      </c>
      <c r="J5">
        <v>0</v>
      </c>
      <c r="K5" s="51">
        <v>0</v>
      </c>
      <c r="L5" s="51">
        <v>0</v>
      </c>
    </row>
    <row r="6" spans="1:13" x14ac:dyDescent="0.25">
      <c r="A6" s="51" t="s">
        <v>49</v>
      </c>
      <c r="B6" s="51">
        <v>0</v>
      </c>
      <c r="C6" s="51">
        <v>0</v>
      </c>
      <c r="D6" s="51">
        <f>9</f>
        <v>9</v>
      </c>
      <c r="E6" s="51">
        <v>0</v>
      </c>
      <c r="F6" s="51">
        <f>33+5</f>
        <v>38</v>
      </c>
      <c r="G6" s="51">
        <v>43</v>
      </c>
      <c r="H6" s="51">
        <v>0</v>
      </c>
      <c r="I6" s="51">
        <v>0</v>
      </c>
      <c r="J6">
        <v>0</v>
      </c>
      <c r="K6" s="51">
        <v>0</v>
      </c>
      <c r="L6" s="51">
        <v>3</v>
      </c>
    </row>
    <row r="7" spans="1:13" x14ac:dyDescent="0.25">
      <c r="A7" s="51" t="s">
        <v>34</v>
      </c>
      <c r="B7" s="51">
        <f>22+3</f>
        <v>25</v>
      </c>
      <c r="C7" s="51">
        <f>331+73+125+30</f>
        <v>559</v>
      </c>
      <c r="D7" s="51">
        <f>23+24</f>
        <v>47</v>
      </c>
      <c r="E7" s="51">
        <f>127+83</f>
        <v>210</v>
      </c>
      <c r="F7" s="51">
        <f>707+335</f>
        <v>1042</v>
      </c>
      <c r="G7" s="51">
        <v>146</v>
      </c>
      <c r="H7" s="51">
        <v>31</v>
      </c>
      <c r="I7" s="51">
        <v>6</v>
      </c>
      <c r="J7">
        <v>21</v>
      </c>
      <c r="K7" s="51">
        <v>334</v>
      </c>
      <c r="L7" s="51">
        <v>136</v>
      </c>
    </row>
    <row r="8" spans="1:13" x14ac:dyDescent="0.25">
      <c r="A8" s="51" t="s">
        <v>18</v>
      </c>
      <c r="B8" s="51">
        <f>90+22</f>
        <v>112</v>
      </c>
      <c r="C8" s="51">
        <f>56+43</f>
        <v>99</v>
      </c>
      <c r="D8" s="51">
        <v>30</v>
      </c>
      <c r="E8" s="51">
        <f>38+1</f>
        <v>39</v>
      </c>
      <c r="F8" s="51">
        <f>452+417</f>
        <v>869</v>
      </c>
      <c r="G8" s="51">
        <v>85</v>
      </c>
      <c r="H8" s="51">
        <v>57</v>
      </c>
      <c r="I8" s="51">
        <v>4</v>
      </c>
      <c r="J8">
        <v>1</v>
      </c>
      <c r="K8" s="51">
        <v>2358</v>
      </c>
      <c r="L8" s="51">
        <v>245</v>
      </c>
    </row>
    <row r="9" spans="1:13" x14ac:dyDescent="0.25">
      <c r="A9" s="51" t="s">
        <v>30</v>
      </c>
      <c r="B9" s="51">
        <v>0</v>
      </c>
      <c r="C9" s="51">
        <f>0</f>
        <v>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>
        <v>0</v>
      </c>
      <c r="K9" s="51">
        <v>0</v>
      </c>
      <c r="L9" s="51">
        <v>2</v>
      </c>
    </row>
    <row r="10" spans="1:13" x14ac:dyDescent="0.25">
      <c r="A10" s="51" t="s">
        <v>42</v>
      </c>
      <c r="B10" s="51">
        <v>1</v>
      </c>
      <c r="C10" s="51">
        <f>13+24</f>
        <v>37</v>
      </c>
      <c r="D10" s="51">
        <f>3+1</f>
        <v>4</v>
      </c>
      <c r="E10" s="51">
        <f>12+14</f>
        <v>26</v>
      </c>
      <c r="F10" s="51">
        <f>369+245</f>
        <v>614</v>
      </c>
      <c r="G10" s="51">
        <v>716</v>
      </c>
      <c r="H10" s="51">
        <v>106</v>
      </c>
      <c r="I10" s="51">
        <v>0</v>
      </c>
      <c r="J10">
        <v>1</v>
      </c>
      <c r="K10" s="51">
        <v>207</v>
      </c>
      <c r="L10" s="51">
        <v>353</v>
      </c>
    </row>
    <row r="11" spans="1:13" x14ac:dyDescent="0.25">
      <c r="A11" s="51" t="s">
        <v>83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39</v>
      </c>
      <c r="H11" s="51">
        <v>122</v>
      </c>
      <c r="I11" s="51">
        <v>1</v>
      </c>
      <c r="J11">
        <v>0</v>
      </c>
      <c r="K11" s="51">
        <v>3</v>
      </c>
      <c r="L11" s="51">
        <v>0</v>
      </c>
    </row>
    <row r="12" spans="1:13" x14ac:dyDescent="0.25">
      <c r="A12" s="51" t="s">
        <v>44</v>
      </c>
      <c r="B12" s="51"/>
      <c r="C12" s="51"/>
      <c r="D12" s="51"/>
      <c r="E12" s="51"/>
      <c r="F12" s="51"/>
      <c r="G12" s="51"/>
      <c r="H12" s="51"/>
      <c r="I12" s="51"/>
      <c r="J12">
        <v>30</v>
      </c>
      <c r="K12" s="51">
        <v>88</v>
      </c>
      <c r="L12" s="51">
        <v>0</v>
      </c>
    </row>
    <row r="13" spans="1:13" x14ac:dyDescent="0.25">
      <c r="A13" s="51" t="s">
        <v>85</v>
      </c>
      <c r="B13" s="51">
        <f>SUM(B4:B12)</f>
        <v>138</v>
      </c>
      <c r="C13" s="51">
        <f>SUM(C4:C11)</f>
        <v>729</v>
      </c>
      <c r="D13" s="51">
        <f>SUM(D4:D12)</f>
        <v>96</v>
      </c>
      <c r="E13" s="51">
        <f>SUM(E4:E11)</f>
        <v>320</v>
      </c>
      <c r="F13" s="51">
        <f t="shared" ref="F13:K13" si="0">SUM(F4:F12)</f>
        <v>2619</v>
      </c>
      <c r="G13" s="51">
        <f t="shared" si="0"/>
        <v>1029</v>
      </c>
      <c r="H13" s="51">
        <f t="shared" si="0"/>
        <v>318</v>
      </c>
      <c r="I13" s="51">
        <f t="shared" si="0"/>
        <v>11</v>
      </c>
      <c r="J13" s="51">
        <f t="shared" si="0"/>
        <v>53</v>
      </c>
      <c r="K13" s="51">
        <f t="shared" si="0"/>
        <v>2990</v>
      </c>
      <c r="L13" s="51">
        <f>SUM(L4:L12)</f>
        <v>739</v>
      </c>
    </row>
    <row r="15" spans="1:13" x14ac:dyDescent="0.25">
      <c r="A15" s="52" t="s">
        <v>84</v>
      </c>
      <c r="B15" s="52">
        <v>2012</v>
      </c>
      <c r="C15" s="52">
        <v>2013</v>
      </c>
      <c r="D15" s="52">
        <v>2014</v>
      </c>
      <c r="E15" s="52">
        <v>2015</v>
      </c>
      <c r="F15" s="52">
        <v>2016</v>
      </c>
      <c r="G15" s="52">
        <v>2017</v>
      </c>
      <c r="H15" s="52">
        <v>2018</v>
      </c>
      <c r="I15" s="52">
        <v>2019</v>
      </c>
      <c r="J15" s="52">
        <v>2020</v>
      </c>
      <c r="K15" s="52">
        <v>2021</v>
      </c>
      <c r="L15" s="52">
        <v>2022</v>
      </c>
      <c r="M15" s="52">
        <v>2023</v>
      </c>
    </row>
    <row r="16" spans="1:13" x14ac:dyDescent="0.25">
      <c r="A16" s="51" t="s">
        <v>42</v>
      </c>
      <c r="B16" s="51">
        <f>101+1+317+6</f>
        <v>425</v>
      </c>
      <c r="C16" s="51">
        <f>42+3+23+3</f>
        <v>71</v>
      </c>
      <c r="D16" s="51">
        <f>1+6</f>
        <v>7</v>
      </c>
      <c r="E16" s="51">
        <v>1</v>
      </c>
      <c r="F16" s="51">
        <f>27+11</f>
        <v>38</v>
      </c>
      <c r="G16" s="51">
        <v>9</v>
      </c>
      <c r="H16" s="51">
        <v>2</v>
      </c>
      <c r="I16" s="51">
        <v>0</v>
      </c>
      <c r="J16">
        <v>5</v>
      </c>
      <c r="K16" s="51">
        <v>0</v>
      </c>
      <c r="L16" s="51">
        <v>26</v>
      </c>
    </row>
    <row r="17" spans="1:12" x14ac:dyDescent="0.25">
      <c r="A17" s="51" t="s">
        <v>41</v>
      </c>
      <c r="C17" s="51">
        <f>2+2</f>
        <v>4</v>
      </c>
      <c r="D17" s="51">
        <f>0</f>
        <v>0</v>
      </c>
      <c r="E17" s="51">
        <v>0</v>
      </c>
      <c r="F17" s="51">
        <v>0</v>
      </c>
      <c r="G17" s="51">
        <v>0</v>
      </c>
      <c r="H17" s="51">
        <v>3</v>
      </c>
      <c r="I17" s="51">
        <v>3</v>
      </c>
      <c r="J17">
        <v>2</v>
      </c>
      <c r="K17" s="51">
        <v>2</v>
      </c>
      <c r="L17" s="51">
        <v>22</v>
      </c>
    </row>
    <row r="18" spans="1:12" x14ac:dyDescent="0.25">
      <c r="A18" s="51" t="s">
        <v>40</v>
      </c>
      <c r="B18" s="51">
        <f>1+7</f>
        <v>8</v>
      </c>
      <c r="C18" s="51">
        <f>2</f>
        <v>2</v>
      </c>
      <c r="D18" s="51">
        <f>1</f>
        <v>1</v>
      </c>
      <c r="E18" s="51">
        <v>0</v>
      </c>
      <c r="F18" s="51">
        <v>0</v>
      </c>
      <c r="G18" s="51">
        <v>0</v>
      </c>
      <c r="H18" s="51">
        <v>0</v>
      </c>
      <c r="I18" s="51">
        <v>1</v>
      </c>
      <c r="J18">
        <v>0</v>
      </c>
      <c r="K18" s="51">
        <v>0</v>
      </c>
      <c r="L18" s="51">
        <v>0</v>
      </c>
    </row>
    <row r="19" spans="1:12" x14ac:dyDescent="0.25">
      <c r="A19" s="51" t="s">
        <v>49</v>
      </c>
      <c r="B19" s="51">
        <f>7+12+4+6+29</f>
        <v>58</v>
      </c>
      <c r="C19" s="51">
        <f>12+23+1+7</f>
        <v>43</v>
      </c>
      <c r="D19" s="51">
        <f>22+1+10+1</f>
        <v>34</v>
      </c>
      <c r="E19" s="51">
        <v>1</v>
      </c>
      <c r="F19" s="51">
        <f>156+2+31</f>
        <v>189</v>
      </c>
      <c r="G19" s="51">
        <f>18+17</f>
        <v>35</v>
      </c>
      <c r="H19" s="51">
        <v>16</v>
      </c>
      <c r="I19" s="51">
        <v>51</v>
      </c>
      <c r="J19">
        <v>17</v>
      </c>
      <c r="K19" s="51">
        <v>12</v>
      </c>
      <c r="L19" s="51">
        <v>13</v>
      </c>
    </row>
    <row r="20" spans="1:12" x14ac:dyDescent="0.25">
      <c r="A20" s="51" t="s">
        <v>34</v>
      </c>
      <c r="B20" s="51">
        <v>0</v>
      </c>
      <c r="C20" s="51">
        <v>0</v>
      </c>
      <c r="D20" s="51">
        <f>0</f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>
        <v>0</v>
      </c>
      <c r="K20" s="51">
        <v>0</v>
      </c>
      <c r="L20" s="51">
        <v>0</v>
      </c>
    </row>
    <row r="21" spans="1:12" x14ac:dyDescent="0.25">
      <c r="A21" s="51" t="s">
        <v>18</v>
      </c>
      <c r="B21" s="51">
        <f>14+1+1</f>
        <v>16</v>
      </c>
      <c r="C21" s="51">
        <v>0</v>
      </c>
      <c r="D21" s="51">
        <v>0</v>
      </c>
      <c r="E21" s="51">
        <v>0</v>
      </c>
      <c r="F21" s="51">
        <v>1</v>
      </c>
      <c r="G21" s="51">
        <v>6</v>
      </c>
      <c r="H21" s="51">
        <v>0</v>
      </c>
      <c r="I21" s="51">
        <v>0</v>
      </c>
      <c r="J21">
        <v>0</v>
      </c>
      <c r="K21" s="51">
        <v>0</v>
      </c>
      <c r="L21" s="51">
        <v>3</v>
      </c>
    </row>
    <row r="22" spans="1:12" x14ac:dyDescent="0.25">
      <c r="A22" s="51" t="s">
        <v>30</v>
      </c>
      <c r="B22" s="51">
        <f>40+1+51+1</f>
        <v>93</v>
      </c>
      <c r="C22" s="51">
        <f>2+1</f>
        <v>3</v>
      </c>
      <c r="D22" s="51">
        <f>4+1+1</f>
        <v>6</v>
      </c>
      <c r="E22" s="51">
        <v>0</v>
      </c>
      <c r="F22" s="51">
        <v>2</v>
      </c>
      <c r="G22" s="51">
        <v>3</v>
      </c>
      <c r="H22" s="51">
        <v>1</v>
      </c>
      <c r="I22" s="51">
        <v>0</v>
      </c>
      <c r="J22">
        <v>3</v>
      </c>
      <c r="K22" s="51">
        <v>3</v>
      </c>
      <c r="L22" s="51">
        <v>0</v>
      </c>
    </row>
    <row r="23" spans="1:12" x14ac:dyDescent="0.25">
      <c r="A23" s="51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5</v>
      </c>
      <c r="K23" s="51">
        <v>0</v>
      </c>
      <c r="L23" s="51">
        <v>0</v>
      </c>
    </row>
    <row r="24" spans="1:12" x14ac:dyDescent="0.25">
      <c r="A24" s="51" t="s">
        <v>44</v>
      </c>
      <c r="J24">
        <v>0</v>
      </c>
      <c r="K24" s="51">
        <v>0</v>
      </c>
      <c r="L24" s="51">
        <v>0</v>
      </c>
    </row>
    <row r="25" spans="1:12" x14ac:dyDescent="0.25">
      <c r="A25" s="51" t="s">
        <v>85</v>
      </c>
      <c r="B25">
        <f>SUM(B16:B24)</f>
        <v>600</v>
      </c>
      <c r="C25">
        <f t="shared" ref="C25:K25" si="1">SUM(C16:C24)</f>
        <v>123</v>
      </c>
      <c r="D25">
        <f t="shared" si="1"/>
        <v>48</v>
      </c>
      <c r="E25">
        <f t="shared" si="1"/>
        <v>2</v>
      </c>
      <c r="F25">
        <f t="shared" si="1"/>
        <v>230</v>
      </c>
      <c r="G25">
        <f t="shared" si="1"/>
        <v>54</v>
      </c>
      <c r="H25">
        <f t="shared" si="1"/>
        <v>22</v>
      </c>
      <c r="I25">
        <f t="shared" si="1"/>
        <v>55</v>
      </c>
      <c r="J25">
        <f t="shared" si="1"/>
        <v>32</v>
      </c>
      <c r="K25">
        <f t="shared" si="1"/>
        <v>17</v>
      </c>
      <c r="L25">
        <f>SUM(L16:L24)</f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684E-55A9-4DBA-BC18-A7A141ED18CB}">
  <dimension ref="A1:I32"/>
  <sheetViews>
    <sheetView workbookViewId="0">
      <selection activeCell="P21" sqref="P21"/>
    </sheetView>
  </sheetViews>
  <sheetFormatPr defaultRowHeight="15" x14ac:dyDescent="0.25"/>
  <cols>
    <col min="1" max="1" width="11.85546875" bestFit="1" customWidth="1"/>
    <col min="2" max="2" width="15.5703125" bestFit="1" customWidth="1"/>
    <col min="3" max="3" width="12.5703125" bestFit="1" customWidth="1"/>
    <col min="4" max="4" width="10" bestFit="1" customWidth="1"/>
    <col min="5" max="5" width="15.140625" bestFit="1" customWidth="1"/>
    <col min="6" max="6" width="11.85546875" bestFit="1" customWidth="1"/>
    <col min="7" max="7" width="12.140625" bestFit="1" customWidth="1"/>
    <col min="8" max="8" width="15.7109375" bestFit="1" customWidth="1"/>
    <col min="9" max="9" width="13" bestFit="1" customWidth="1"/>
  </cols>
  <sheetData>
    <row r="1" spans="1:9" x14ac:dyDescent="0.25">
      <c r="A1" s="12" t="s">
        <v>0</v>
      </c>
      <c r="B1" s="12" t="s">
        <v>54</v>
      </c>
      <c r="C1" s="12" t="s">
        <v>2</v>
      </c>
      <c r="D1" s="12" t="s">
        <v>55</v>
      </c>
      <c r="E1" s="12" t="s">
        <v>56</v>
      </c>
      <c r="F1" s="12" t="s">
        <v>57</v>
      </c>
      <c r="G1" s="12" t="s">
        <v>58</v>
      </c>
      <c r="H1" s="12" t="s">
        <v>59</v>
      </c>
      <c r="I1" s="13" t="s">
        <v>60</v>
      </c>
    </row>
    <row r="2" spans="1:9" x14ac:dyDescent="0.25">
      <c r="A2" s="14">
        <v>44834</v>
      </c>
      <c r="B2" s="15" t="s">
        <v>61</v>
      </c>
      <c r="C2" s="15" t="s">
        <v>39</v>
      </c>
      <c r="D2" s="15" t="s">
        <v>62</v>
      </c>
      <c r="E2" s="16">
        <v>0</v>
      </c>
      <c r="F2" s="16">
        <v>1</v>
      </c>
      <c r="G2" s="16">
        <v>0</v>
      </c>
      <c r="H2" s="17">
        <v>0</v>
      </c>
      <c r="I2" s="18">
        <f t="shared" ref="I2:I32" si="0">SUM(E2:H2)</f>
        <v>1</v>
      </c>
    </row>
    <row r="3" spans="1:9" x14ac:dyDescent="0.25">
      <c r="A3" s="14">
        <v>44834</v>
      </c>
      <c r="B3" s="15" t="s">
        <v>63</v>
      </c>
      <c r="C3" s="15" t="s">
        <v>39</v>
      </c>
      <c r="D3" s="15" t="s">
        <v>64</v>
      </c>
      <c r="E3" s="16">
        <v>0</v>
      </c>
      <c r="F3" s="16">
        <v>0</v>
      </c>
      <c r="G3" s="16">
        <v>0</v>
      </c>
      <c r="H3" s="17">
        <v>3</v>
      </c>
      <c r="I3" s="18">
        <f t="shared" si="0"/>
        <v>3</v>
      </c>
    </row>
    <row r="4" spans="1:9" x14ac:dyDescent="0.25">
      <c r="A4" s="14">
        <v>44834</v>
      </c>
      <c r="B4" s="15" t="s">
        <v>63</v>
      </c>
      <c r="C4" s="15" t="s">
        <v>39</v>
      </c>
      <c r="D4" s="15" t="s">
        <v>62</v>
      </c>
      <c r="E4" s="16">
        <v>0</v>
      </c>
      <c r="F4" s="16">
        <v>2</v>
      </c>
      <c r="G4" s="16">
        <v>0</v>
      </c>
      <c r="H4" s="17">
        <v>0</v>
      </c>
      <c r="I4" s="18">
        <f t="shared" si="0"/>
        <v>2</v>
      </c>
    </row>
    <row r="5" spans="1:9" x14ac:dyDescent="0.25">
      <c r="A5" s="14">
        <v>44841</v>
      </c>
      <c r="B5" s="15" t="s">
        <v>61</v>
      </c>
      <c r="C5" s="15" t="s">
        <v>11</v>
      </c>
      <c r="D5" s="15" t="s">
        <v>62</v>
      </c>
      <c r="E5" s="16">
        <v>0</v>
      </c>
      <c r="F5" s="16">
        <v>1</v>
      </c>
      <c r="G5" s="16">
        <v>0</v>
      </c>
      <c r="H5" s="17">
        <v>0</v>
      </c>
      <c r="I5" s="18">
        <f t="shared" si="0"/>
        <v>1</v>
      </c>
    </row>
    <row r="6" spans="1:9" x14ac:dyDescent="0.25">
      <c r="A6" s="14">
        <v>44841</v>
      </c>
      <c r="B6" s="15" t="s">
        <v>63</v>
      </c>
      <c r="C6" s="15" t="s">
        <v>11</v>
      </c>
      <c r="D6" s="15" t="s">
        <v>62</v>
      </c>
      <c r="E6" s="16">
        <v>0</v>
      </c>
      <c r="F6" s="16">
        <v>1</v>
      </c>
      <c r="G6" s="17">
        <v>0</v>
      </c>
      <c r="H6" s="16">
        <v>0</v>
      </c>
      <c r="I6" s="18">
        <f t="shared" si="0"/>
        <v>1</v>
      </c>
    </row>
    <row r="7" spans="1:9" x14ac:dyDescent="0.25">
      <c r="A7" s="14">
        <v>44860</v>
      </c>
      <c r="B7" s="15" t="s">
        <v>61</v>
      </c>
      <c r="C7" s="15" t="s">
        <v>65</v>
      </c>
      <c r="D7" s="15" t="s">
        <v>62</v>
      </c>
      <c r="E7" s="16">
        <v>1</v>
      </c>
      <c r="F7" s="16">
        <v>0</v>
      </c>
      <c r="G7" s="17">
        <v>1</v>
      </c>
      <c r="H7" s="17">
        <v>0</v>
      </c>
      <c r="I7" s="18">
        <f t="shared" si="0"/>
        <v>2</v>
      </c>
    </row>
    <row r="8" spans="1:9" x14ac:dyDescent="0.25">
      <c r="A8" s="14">
        <v>44866</v>
      </c>
      <c r="B8" s="15" t="s">
        <v>61</v>
      </c>
      <c r="C8" s="15" t="s">
        <v>10</v>
      </c>
      <c r="D8" s="15" t="s">
        <v>66</v>
      </c>
      <c r="E8" s="16">
        <v>0</v>
      </c>
      <c r="F8" s="16">
        <v>0</v>
      </c>
      <c r="G8" s="16">
        <v>0</v>
      </c>
      <c r="H8" s="17">
        <v>2</v>
      </c>
      <c r="I8" s="18">
        <f t="shared" si="0"/>
        <v>2</v>
      </c>
    </row>
    <row r="9" spans="1:9" x14ac:dyDescent="0.25">
      <c r="A9" s="14">
        <v>44866</v>
      </c>
      <c r="B9" s="15" t="s">
        <v>63</v>
      </c>
      <c r="C9" s="15" t="s">
        <v>10</v>
      </c>
      <c r="D9" s="15" t="s">
        <v>66</v>
      </c>
      <c r="E9" s="17">
        <v>0</v>
      </c>
      <c r="F9" s="16">
        <v>0</v>
      </c>
      <c r="G9" s="16">
        <v>2</v>
      </c>
      <c r="H9" s="17">
        <v>1</v>
      </c>
      <c r="I9" s="18">
        <f t="shared" si="0"/>
        <v>3</v>
      </c>
    </row>
    <row r="10" spans="1:9" x14ac:dyDescent="0.25">
      <c r="A10" s="19">
        <v>44880</v>
      </c>
      <c r="B10" s="15" t="s">
        <v>67</v>
      </c>
      <c r="C10" s="15" t="s">
        <v>10</v>
      </c>
      <c r="D10" s="15" t="s">
        <v>66</v>
      </c>
      <c r="E10" s="16">
        <v>0</v>
      </c>
      <c r="F10" s="16">
        <v>0</v>
      </c>
      <c r="G10" s="16">
        <v>0</v>
      </c>
      <c r="H10" s="17">
        <v>1</v>
      </c>
      <c r="I10" s="18">
        <f t="shared" si="0"/>
        <v>1</v>
      </c>
    </row>
    <row r="11" spans="1:9" x14ac:dyDescent="0.25">
      <c r="A11" s="20">
        <v>44909</v>
      </c>
      <c r="B11" s="21" t="s">
        <v>30</v>
      </c>
      <c r="C11" s="21" t="s">
        <v>68</v>
      </c>
      <c r="D11" s="21" t="s">
        <v>66</v>
      </c>
      <c r="E11" s="22">
        <v>0</v>
      </c>
      <c r="F11" s="22">
        <v>0</v>
      </c>
      <c r="G11" s="23">
        <v>0</v>
      </c>
      <c r="H11" s="23">
        <v>2</v>
      </c>
      <c r="I11" s="24">
        <f t="shared" si="0"/>
        <v>2</v>
      </c>
    </row>
    <row r="12" spans="1:9" x14ac:dyDescent="0.25">
      <c r="A12" s="25">
        <v>44874</v>
      </c>
      <c r="B12" s="26" t="s">
        <v>34</v>
      </c>
      <c r="C12" s="26" t="s">
        <v>19</v>
      </c>
      <c r="D12" s="26" t="s">
        <v>66</v>
      </c>
      <c r="E12" s="27">
        <v>0</v>
      </c>
      <c r="F12" s="28">
        <v>0</v>
      </c>
      <c r="G12" s="27">
        <v>0</v>
      </c>
      <c r="H12" s="27">
        <v>15</v>
      </c>
      <c r="I12" s="29">
        <f t="shared" si="0"/>
        <v>15</v>
      </c>
    </row>
    <row r="13" spans="1:9" x14ac:dyDescent="0.25">
      <c r="A13" s="25">
        <v>44886</v>
      </c>
      <c r="B13" s="26" t="s">
        <v>34</v>
      </c>
      <c r="C13" s="26" t="s">
        <v>69</v>
      </c>
      <c r="D13" s="26" t="s">
        <v>66</v>
      </c>
      <c r="E13" s="28">
        <v>0</v>
      </c>
      <c r="F13" s="28">
        <v>0</v>
      </c>
      <c r="G13" s="28">
        <v>0</v>
      </c>
      <c r="H13" s="27">
        <v>41</v>
      </c>
      <c r="I13" s="29">
        <f t="shared" si="0"/>
        <v>41</v>
      </c>
    </row>
    <row r="14" spans="1:9" x14ac:dyDescent="0.25">
      <c r="A14" s="30">
        <v>44818</v>
      </c>
      <c r="B14" s="31" t="s">
        <v>42</v>
      </c>
      <c r="C14" s="31" t="s">
        <v>11</v>
      </c>
      <c r="D14" s="31" t="s">
        <v>62</v>
      </c>
      <c r="E14" s="32">
        <v>0</v>
      </c>
      <c r="F14" s="33">
        <v>0</v>
      </c>
      <c r="G14" s="32">
        <v>0</v>
      </c>
      <c r="H14" s="32">
        <v>1</v>
      </c>
      <c r="I14" s="34">
        <f t="shared" si="0"/>
        <v>1</v>
      </c>
    </row>
    <row r="15" spans="1:9" x14ac:dyDescent="0.25">
      <c r="A15" s="30">
        <v>44840</v>
      </c>
      <c r="B15" s="31" t="s">
        <v>42</v>
      </c>
      <c r="C15" s="31" t="s">
        <v>10</v>
      </c>
      <c r="D15" s="31" t="s">
        <v>62</v>
      </c>
      <c r="E15" s="32">
        <v>0</v>
      </c>
      <c r="F15" s="32">
        <v>1</v>
      </c>
      <c r="G15" s="32">
        <v>0</v>
      </c>
      <c r="H15" s="33">
        <v>1</v>
      </c>
      <c r="I15" s="34">
        <f t="shared" si="0"/>
        <v>2</v>
      </c>
    </row>
    <row r="16" spans="1:9" x14ac:dyDescent="0.25">
      <c r="A16" s="30">
        <v>44847</v>
      </c>
      <c r="B16" s="31" t="s">
        <v>42</v>
      </c>
      <c r="C16" s="31" t="s">
        <v>10</v>
      </c>
      <c r="D16" s="31" t="s">
        <v>62</v>
      </c>
      <c r="E16" s="32">
        <v>0</v>
      </c>
      <c r="F16" s="32">
        <v>5</v>
      </c>
      <c r="G16" s="32">
        <v>1</v>
      </c>
      <c r="H16" s="33">
        <v>3</v>
      </c>
      <c r="I16" s="34">
        <f t="shared" si="0"/>
        <v>9</v>
      </c>
    </row>
    <row r="17" spans="1:9" x14ac:dyDescent="0.25">
      <c r="A17" s="30">
        <v>44875</v>
      </c>
      <c r="B17" s="31" t="s">
        <v>42</v>
      </c>
      <c r="C17" s="31" t="s">
        <v>10</v>
      </c>
      <c r="D17" s="31" t="s">
        <v>66</v>
      </c>
      <c r="E17" s="33">
        <v>0</v>
      </c>
      <c r="F17" s="32">
        <v>0</v>
      </c>
      <c r="G17" s="33">
        <v>0</v>
      </c>
      <c r="H17" s="33">
        <v>78</v>
      </c>
      <c r="I17" s="34">
        <f t="shared" si="0"/>
        <v>78</v>
      </c>
    </row>
    <row r="18" spans="1:9" x14ac:dyDescent="0.25">
      <c r="A18" s="30">
        <v>44883</v>
      </c>
      <c r="B18" s="31" t="s">
        <v>42</v>
      </c>
      <c r="C18" s="31" t="s">
        <v>10</v>
      </c>
      <c r="D18" s="31" t="s">
        <v>66</v>
      </c>
      <c r="E18" s="33">
        <v>0</v>
      </c>
      <c r="F18" s="32">
        <v>0</v>
      </c>
      <c r="G18" s="33">
        <v>0</v>
      </c>
      <c r="H18" s="33">
        <v>0</v>
      </c>
      <c r="I18" s="34">
        <f t="shared" si="0"/>
        <v>0</v>
      </c>
    </row>
    <row r="19" spans="1:9" x14ac:dyDescent="0.25">
      <c r="A19" s="30">
        <v>44902</v>
      </c>
      <c r="B19" s="31" t="s">
        <v>42</v>
      </c>
      <c r="C19" s="31" t="s">
        <v>68</v>
      </c>
      <c r="D19" s="31" t="s">
        <v>66</v>
      </c>
      <c r="E19" s="32">
        <v>0</v>
      </c>
      <c r="F19" s="32">
        <v>0</v>
      </c>
      <c r="G19" s="32">
        <v>0</v>
      </c>
      <c r="H19" s="33">
        <v>2</v>
      </c>
      <c r="I19" s="34">
        <f t="shared" si="0"/>
        <v>2</v>
      </c>
    </row>
    <row r="20" spans="1:9" x14ac:dyDescent="0.25">
      <c r="A20" s="35">
        <v>44816</v>
      </c>
      <c r="B20" s="36" t="s">
        <v>41</v>
      </c>
      <c r="C20" s="36" t="s">
        <v>11</v>
      </c>
      <c r="D20" s="36" t="s">
        <v>62</v>
      </c>
      <c r="E20" s="37">
        <v>0</v>
      </c>
      <c r="F20" s="38">
        <v>0</v>
      </c>
      <c r="G20" s="38">
        <v>1</v>
      </c>
      <c r="H20" s="37">
        <v>0</v>
      </c>
      <c r="I20" s="39">
        <f t="shared" si="0"/>
        <v>1</v>
      </c>
    </row>
    <row r="21" spans="1:9" x14ac:dyDescent="0.25">
      <c r="A21" s="35">
        <v>44824</v>
      </c>
      <c r="B21" s="36" t="s">
        <v>41</v>
      </c>
      <c r="C21" s="36" t="s">
        <v>11</v>
      </c>
      <c r="D21" s="36" t="s">
        <v>62</v>
      </c>
      <c r="E21" s="38">
        <v>0</v>
      </c>
      <c r="F21" s="37">
        <v>1</v>
      </c>
      <c r="G21" s="38">
        <v>0</v>
      </c>
      <c r="H21" s="38">
        <v>1</v>
      </c>
      <c r="I21" s="39">
        <f t="shared" si="0"/>
        <v>2</v>
      </c>
    </row>
    <row r="22" spans="1:9" x14ac:dyDescent="0.25">
      <c r="A22" s="35">
        <v>44831</v>
      </c>
      <c r="B22" s="36" t="s">
        <v>41</v>
      </c>
      <c r="C22" s="36" t="s">
        <v>21</v>
      </c>
      <c r="D22" s="36" t="s">
        <v>62</v>
      </c>
      <c r="E22" s="38">
        <v>0</v>
      </c>
      <c r="F22" s="37">
        <v>0</v>
      </c>
      <c r="G22" s="38">
        <v>0</v>
      </c>
      <c r="H22" s="38">
        <v>2</v>
      </c>
      <c r="I22" s="39">
        <f t="shared" si="0"/>
        <v>2</v>
      </c>
    </row>
    <row r="23" spans="1:9" x14ac:dyDescent="0.25">
      <c r="A23" s="35">
        <v>44838</v>
      </c>
      <c r="B23" s="36" t="s">
        <v>41</v>
      </c>
      <c r="C23" s="36" t="s">
        <v>10</v>
      </c>
      <c r="D23" s="36" t="s">
        <v>62</v>
      </c>
      <c r="E23" s="37">
        <v>1</v>
      </c>
      <c r="F23" s="38">
        <v>2</v>
      </c>
      <c r="G23" s="37">
        <v>0</v>
      </c>
      <c r="H23" s="37">
        <v>1</v>
      </c>
      <c r="I23" s="39">
        <f t="shared" si="0"/>
        <v>4</v>
      </c>
    </row>
    <row r="24" spans="1:9" x14ac:dyDescent="0.25">
      <c r="A24" s="35">
        <v>44845</v>
      </c>
      <c r="B24" s="36" t="s">
        <v>41</v>
      </c>
      <c r="C24" s="36" t="s">
        <v>10</v>
      </c>
      <c r="D24" s="36" t="s">
        <v>62</v>
      </c>
      <c r="E24" s="38">
        <v>0</v>
      </c>
      <c r="F24" s="38">
        <v>0</v>
      </c>
      <c r="G24" s="38">
        <v>0</v>
      </c>
      <c r="H24" s="37">
        <v>1</v>
      </c>
      <c r="I24" s="39">
        <f t="shared" si="0"/>
        <v>1</v>
      </c>
    </row>
    <row r="25" spans="1:9" x14ac:dyDescent="0.25">
      <c r="A25" s="35">
        <v>44859</v>
      </c>
      <c r="B25" s="36" t="s">
        <v>41</v>
      </c>
      <c r="C25" s="36" t="s">
        <v>14</v>
      </c>
      <c r="D25" s="36" t="s">
        <v>62</v>
      </c>
      <c r="E25" s="38">
        <v>0</v>
      </c>
      <c r="F25" s="38">
        <v>4</v>
      </c>
      <c r="G25" s="38">
        <v>0</v>
      </c>
      <c r="H25" s="37">
        <v>1</v>
      </c>
      <c r="I25" s="39">
        <f t="shared" si="0"/>
        <v>5</v>
      </c>
    </row>
    <row r="26" spans="1:9" x14ac:dyDescent="0.25">
      <c r="A26" s="40">
        <v>44848</v>
      </c>
      <c r="B26" s="41" t="s">
        <v>18</v>
      </c>
      <c r="C26" s="41" t="s">
        <v>11</v>
      </c>
      <c r="D26" s="41" t="s">
        <v>62</v>
      </c>
      <c r="E26" s="42">
        <v>0</v>
      </c>
      <c r="F26" s="42">
        <v>2</v>
      </c>
      <c r="G26" s="42">
        <v>0</v>
      </c>
      <c r="H26" s="43">
        <v>0</v>
      </c>
      <c r="I26" s="44">
        <f t="shared" si="0"/>
        <v>2</v>
      </c>
    </row>
    <row r="27" spans="1:9" x14ac:dyDescent="0.25">
      <c r="A27" s="40">
        <v>44862</v>
      </c>
      <c r="B27" s="41" t="s">
        <v>18</v>
      </c>
      <c r="C27" s="41" t="s">
        <v>11</v>
      </c>
      <c r="D27" s="41" t="s">
        <v>62</v>
      </c>
      <c r="E27" s="42">
        <v>0</v>
      </c>
      <c r="F27" s="42">
        <v>1</v>
      </c>
      <c r="G27" s="42">
        <v>0</v>
      </c>
      <c r="H27" s="43">
        <v>0</v>
      </c>
      <c r="I27" s="44">
        <f t="shared" si="0"/>
        <v>1</v>
      </c>
    </row>
    <row r="28" spans="1:9" x14ac:dyDescent="0.25">
      <c r="A28" s="40">
        <v>44862</v>
      </c>
      <c r="B28" s="41" t="s">
        <v>18</v>
      </c>
      <c r="C28" s="41" t="s">
        <v>11</v>
      </c>
      <c r="D28" s="41" t="s">
        <v>66</v>
      </c>
      <c r="E28" s="42">
        <v>0</v>
      </c>
      <c r="F28" s="42">
        <v>0</v>
      </c>
      <c r="G28" s="42">
        <v>0</v>
      </c>
      <c r="H28" s="43">
        <v>1</v>
      </c>
      <c r="I28" s="44">
        <f t="shared" si="0"/>
        <v>1</v>
      </c>
    </row>
    <row r="29" spans="1:9" x14ac:dyDescent="0.25">
      <c r="A29" s="45">
        <v>44886</v>
      </c>
      <c r="B29" s="42" t="s">
        <v>18</v>
      </c>
      <c r="C29" s="42" t="s">
        <v>70</v>
      </c>
      <c r="D29" s="42" t="s">
        <v>66</v>
      </c>
      <c r="E29" s="42">
        <v>0</v>
      </c>
      <c r="F29" s="42">
        <v>0</v>
      </c>
      <c r="G29" s="42">
        <v>0</v>
      </c>
      <c r="H29" s="42">
        <v>23</v>
      </c>
      <c r="I29" s="44">
        <f t="shared" si="0"/>
        <v>23</v>
      </c>
    </row>
    <row r="30" spans="1:9" x14ac:dyDescent="0.25">
      <c r="A30" s="45">
        <v>44874</v>
      </c>
      <c r="B30" s="41" t="s">
        <v>18</v>
      </c>
      <c r="C30" s="41" t="s">
        <v>21</v>
      </c>
      <c r="D30" s="41" t="s">
        <v>66</v>
      </c>
      <c r="E30" s="42">
        <v>0</v>
      </c>
      <c r="F30" s="42">
        <v>0</v>
      </c>
      <c r="G30" s="42">
        <v>0</v>
      </c>
      <c r="H30" s="43">
        <v>197</v>
      </c>
      <c r="I30" s="44">
        <f t="shared" si="0"/>
        <v>197</v>
      </c>
    </row>
    <row r="31" spans="1:9" x14ac:dyDescent="0.25">
      <c r="A31" s="45">
        <v>44901</v>
      </c>
      <c r="B31" s="41" t="s">
        <v>18</v>
      </c>
      <c r="C31" s="41" t="s">
        <v>71</v>
      </c>
      <c r="D31" s="41" t="s">
        <v>66</v>
      </c>
      <c r="E31" s="42">
        <v>1</v>
      </c>
      <c r="F31" s="42">
        <v>0</v>
      </c>
      <c r="G31" s="42">
        <v>0</v>
      </c>
      <c r="H31" s="43">
        <v>0</v>
      </c>
      <c r="I31" s="44">
        <f t="shared" si="0"/>
        <v>1</v>
      </c>
    </row>
    <row r="32" spans="1:9" x14ac:dyDescent="0.25">
      <c r="A32" s="45">
        <v>44904</v>
      </c>
      <c r="B32" s="41" t="s">
        <v>18</v>
      </c>
      <c r="C32" s="41" t="s">
        <v>21</v>
      </c>
      <c r="D32" s="41" t="s">
        <v>66</v>
      </c>
      <c r="E32" s="42">
        <v>0</v>
      </c>
      <c r="F32" s="42">
        <v>0</v>
      </c>
      <c r="G32" s="42">
        <v>0</v>
      </c>
      <c r="H32" s="43">
        <v>15</v>
      </c>
      <c r="I32" s="44">
        <f t="shared" si="0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03D2-C436-4449-AEAD-C6C6A4FDE978}">
  <dimension ref="A1:L19"/>
  <sheetViews>
    <sheetView workbookViewId="0">
      <selection activeCell="N12" sqref="N12"/>
    </sheetView>
  </sheetViews>
  <sheetFormatPr defaultRowHeight="15" x14ac:dyDescent="0.25"/>
  <cols>
    <col min="1" max="1" width="13.7109375" bestFit="1" customWidth="1"/>
    <col min="2" max="2" width="15.5703125" bestFit="1" customWidth="1"/>
    <col min="3" max="3" width="18.140625" bestFit="1" customWidth="1"/>
    <col min="4" max="4" width="17.85546875" bestFit="1" customWidth="1"/>
    <col min="5" max="5" width="21" bestFit="1" customWidth="1"/>
    <col min="6" max="6" width="22.85546875" bestFit="1" customWidth="1"/>
    <col min="8" max="8" width="11.85546875" bestFit="1" customWidth="1"/>
    <col min="9" max="9" width="15.5703125" bestFit="1" customWidth="1"/>
    <col min="10" max="10" width="18.85546875" bestFit="1" customWidth="1"/>
    <col min="11" max="11" width="21.85546875" bestFit="1" customWidth="1"/>
    <col min="12" max="12" width="23.5703125" bestFit="1" customWidth="1"/>
  </cols>
  <sheetData>
    <row r="1" spans="1:12" x14ac:dyDescent="0.25">
      <c r="A1" s="12" t="s">
        <v>0</v>
      </c>
      <c r="B1" s="12" t="s">
        <v>54</v>
      </c>
      <c r="C1" s="12" t="s">
        <v>72</v>
      </c>
      <c r="D1" s="12" t="s">
        <v>73</v>
      </c>
      <c r="E1" s="12" t="s">
        <v>74</v>
      </c>
      <c r="F1" s="12" t="s">
        <v>75</v>
      </c>
      <c r="H1" s="12" t="s">
        <v>0</v>
      </c>
      <c r="I1" s="12" t="s">
        <v>54</v>
      </c>
      <c r="J1" s="12" t="s">
        <v>77</v>
      </c>
      <c r="K1" s="12" t="s">
        <v>78</v>
      </c>
      <c r="L1" s="12" t="s">
        <v>79</v>
      </c>
    </row>
    <row r="2" spans="1:12" x14ac:dyDescent="0.25">
      <c r="A2" s="6">
        <v>44840</v>
      </c>
      <c r="B2" t="s">
        <v>42</v>
      </c>
      <c r="C2">
        <v>0</v>
      </c>
      <c r="D2">
        <v>5</v>
      </c>
      <c r="E2">
        <v>1</v>
      </c>
      <c r="F2">
        <v>0</v>
      </c>
      <c r="H2" s="46">
        <v>44911</v>
      </c>
      <c r="I2" s="47" t="s">
        <v>17</v>
      </c>
      <c r="J2">
        <v>0</v>
      </c>
      <c r="K2">
        <v>1</v>
      </c>
      <c r="L2" s="47">
        <v>0</v>
      </c>
    </row>
    <row r="3" spans="1:12" x14ac:dyDescent="0.25">
      <c r="A3" s="6">
        <v>44845</v>
      </c>
      <c r="B3" t="s">
        <v>41</v>
      </c>
      <c r="C3">
        <v>0</v>
      </c>
      <c r="D3">
        <v>0</v>
      </c>
      <c r="E3">
        <v>0</v>
      </c>
      <c r="F3">
        <v>3</v>
      </c>
      <c r="H3" s="48">
        <v>44904</v>
      </c>
      <c r="I3" s="49" t="s">
        <v>17</v>
      </c>
      <c r="J3">
        <v>0</v>
      </c>
      <c r="K3">
        <v>0</v>
      </c>
      <c r="L3" s="47">
        <v>15</v>
      </c>
    </row>
    <row r="4" spans="1:12" x14ac:dyDescent="0.25">
      <c r="A4" s="6">
        <v>44834</v>
      </c>
      <c r="B4" t="s">
        <v>63</v>
      </c>
      <c r="C4">
        <v>0</v>
      </c>
      <c r="D4">
        <v>2</v>
      </c>
      <c r="E4">
        <v>1</v>
      </c>
      <c r="F4">
        <v>1</v>
      </c>
      <c r="H4" s="48">
        <v>44891</v>
      </c>
      <c r="I4" s="49" t="s">
        <v>17</v>
      </c>
      <c r="J4">
        <v>53</v>
      </c>
      <c r="K4">
        <v>40</v>
      </c>
      <c r="L4" s="47">
        <v>76</v>
      </c>
    </row>
    <row r="5" spans="1:12" x14ac:dyDescent="0.25">
      <c r="A5" s="6">
        <v>44848</v>
      </c>
      <c r="B5" t="s">
        <v>17</v>
      </c>
      <c r="C5">
        <v>0</v>
      </c>
      <c r="D5">
        <v>2</v>
      </c>
      <c r="E5">
        <v>0</v>
      </c>
      <c r="F5">
        <v>0</v>
      </c>
      <c r="H5" s="50">
        <v>44874</v>
      </c>
      <c r="I5" s="47" t="s">
        <v>17</v>
      </c>
      <c r="J5">
        <v>0</v>
      </c>
      <c r="K5">
        <v>0</v>
      </c>
      <c r="L5" s="47">
        <v>8</v>
      </c>
    </row>
    <row r="6" spans="1:12" x14ac:dyDescent="0.25">
      <c r="A6" t="s">
        <v>76</v>
      </c>
      <c r="B6" t="s">
        <v>17</v>
      </c>
      <c r="C6">
        <v>0</v>
      </c>
      <c r="D6">
        <v>1</v>
      </c>
      <c r="E6">
        <v>0</v>
      </c>
      <c r="F6">
        <v>0</v>
      </c>
      <c r="H6" s="50">
        <v>44862</v>
      </c>
      <c r="I6" s="47" t="s">
        <v>17</v>
      </c>
      <c r="J6" s="47">
        <v>0</v>
      </c>
      <c r="K6" s="47">
        <v>0</v>
      </c>
      <c r="L6" s="47">
        <v>1</v>
      </c>
    </row>
    <row r="7" spans="1:12" x14ac:dyDescent="0.25">
      <c r="H7" s="46">
        <v>44902</v>
      </c>
      <c r="I7" s="47" t="s">
        <v>25</v>
      </c>
      <c r="J7">
        <v>0</v>
      </c>
      <c r="K7">
        <v>0</v>
      </c>
      <c r="L7" s="47">
        <v>216</v>
      </c>
    </row>
    <row r="8" spans="1:12" x14ac:dyDescent="0.25">
      <c r="H8" s="46">
        <v>44883</v>
      </c>
      <c r="I8" s="47" t="s">
        <v>25</v>
      </c>
      <c r="J8" s="47">
        <v>20</v>
      </c>
      <c r="K8" s="47">
        <v>26</v>
      </c>
      <c r="L8" s="47">
        <v>0</v>
      </c>
    </row>
    <row r="9" spans="1:12" x14ac:dyDescent="0.25">
      <c r="H9" s="46"/>
      <c r="I9" s="47"/>
      <c r="L9" s="47"/>
    </row>
    <row r="10" spans="1:12" x14ac:dyDescent="0.25">
      <c r="H10" s="46">
        <v>44875</v>
      </c>
      <c r="I10" s="47" t="s">
        <v>25</v>
      </c>
      <c r="J10" s="47">
        <v>0</v>
      </c>
      <c r="K10" s="47">
        <v>0</v>
      </c>
      <c r="L10" s="47">
        <v>10</v>
      </c>
    </row>
    <row r="11" spans="1:12" x14ac:dyDescent="0.25">
      <c r="H11" s="46">
        <v>44840</v>
      </c>
      <c r="I11" s="47" t="s">
        <v>25</v>
      </c>
      <c r="J11" s="47">
        <v>0</v>
      </c>
      <c r="K11" s="47">
        <v>1</v>
      </c>
      <c r="L11" s="47">
        <v>0</v>
      </c>
    </row>
    <row r="12" spans="1:12" x14ac:dyDescent="0.25">
      <c r="H12" s="46">
        <v>44874</v>
      </c>
      <c r="I12" s="47" t="s">
        <v>32</v>
      </c>
      <c r="J12" s="47">
        <v>0</v>
      </c>
      <c r="K12" s="47">
        <v>0</v>
      </c>
      <c r="L12" s="47">
        <v>1</v>
      </c>
    </row>
    <row r="13" spans="1:12" x14ac:dyDescent="0.25">
      <c r="H13" s="46">
        <v>44521</v>
      </c>
      <c r="I13" s="47" t="s">
        <v>32</v>
      </c>
      <c r="J13" s="47">
        <v>2</v>
      </c>
      <c r="K13" s="47">
        <v>1</v>
      </c>
      <c r="L13" s="47">
        <v>4</v>
      </c>
    </row>
    <row r="14" spans="1:12" x14ac:dyDescent="0.25">
      <c r="H14" s="48">
        <v>44904</v>
      </c>
      <c r="I14" s="49" t="s">
        <v>32</v>
      </c>
      <c r="J14">
        <v>4</v>
      </c>
      <c r="K14">
        <v>4</v>
      </c>
      <c r="L14" s="47">
        <v>16</v>
      </c>
    </row>
    <row r="15" spans="1:12" x14ac:dyDescent="0.25">
      <c r="H15" s="46">
        <v>44911</v>
      </c>
      <c r="I15" s="47" t="s">
        <v>35</v>
      </c>
      <c r="J15" s="47">
        <v>9</v>
      </c>
      <c r="K15" s="47">
        <v>8</v>
      </c>
      <c r="L15" s="47">
        <v>6</v>
      </c>
    </row>
    <row r="16" spans="1:12" x14ac:dyDescent="0.25">
      <c r="H16" s="46">
        <v>44911</v>
      </c>
      <c r="I16" s="47" t="s">
        <v>36</v>
      </c>
      <c r="J16">
        <v>7</v>
      </c>
      <c r="K16">
        <v>6</v>
      </c>
      <c r="L16" s="47">
        <v>12</v>
      </c>
    </row>
    <row r="17" spans="8:12" x14ac:dyDescent="0.25">
      <c r="H17" s="6">
        <v>44901</v>
      </c>
      <c r="I17" t="s">
        <v>61</v>
      </c>
      <c r="J17">
        <v>0</v>
      </c>
      <c r="K17">
        <v>0</v>
      </c>
      <c r="L17" s="47">
        <v>2</v>
      </c>
    </row>
    <row r="18" spans="8:12" x14ac:dyDescent="0.25">
      <c r="H18" s="6">
        <v>44901</v>
      </c>
      <c r="I18" t="s">
        <v>63</v>
      </c>
      <c r="J18">
        <v>0</v>
      </c>
      <c r="K18">
        <v>0</v>
      </c>
      <c r="L18" s="47">
        <v>1</v>
      </c>
    </row>
    <row r="19" spans="8:12" x14ac:dyDescent="0.25">
      <c r="H19" s="6">
        <v>44914</v>
      </c>
      <c r="I19" t="s">
        <v>80</v>
      </c>
      <c r="J19">
        <v>0</v>
      </c>
      <c r="K19">
        <v>0</v>
      </c>
      <c r="L19" s="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4ADE-E873-4EF6-B816-756A61BD4F83}">
  <dimension ref="A1:E10"/>
  <sheetViews>
    <sheetView workbookViewId="0">
      <selection activeCell="B2" sqref="B2:C10"/>
    </sheetView>
  </sheetViews>
  <sheetFormatPr defaultRowHeight="15" x14ac:dyDescent="0.25"/>
  <cols>
    <col min="1" max="1" width="21.7109375" bestFit="1" customWidth="1"/>
    <col min="2" max="3" width="10.7109375" bestFit="1" customWidth="1"/>
    <col min="4" max="4" width="17.7109375" bestFit="1" customWidth="1"/>
  </cols>
  <sheetData>
    <row r="1" spans="1:5" x14ac:dyDescent="0.25">
      <c r="A1" s="51" t="s">
        <v>1</v>
      </c>
      <c r="B1" s="51" t="s">
        <v>86</v>
      </c>
      <c r="C1" s="51" t="s">
        <v>87</v>
      </c>
      <c r="D1" s="51" t="s">
        <v>88</v>
      </c>
      <c r="E1" s="51" t="s">
        <v>89</v>
      </c>
    </row>
    <row r="2" spans="1:5" x14ac:dyDescent="0.25">
      <c r="A2" s="51" t="s">
        <v>90</v>
      </c>
      <c r="B2" s="54">
        <v>43009</v>
      </c>
      <c r="C2" s="54">
        <v>42744</v>
      </c>
      <c r="D2" s="53">
        <v>43099</v>
      </c>
      <c r="E2" s="51">
        <f>D2-B2+9</f>
        <v>99</v>
      </c>
    </row>
    <row r="3" spans="1:5" x14ac:dyDescent="0.25">
      <c r="A3" s="51" t="s">
        <v>91</v>
      </c>
      <c r="B3" s="54">
        <v>43000</v>
      </c>
      <c r="C3" s="54">
        <v>43043</v>
      </c>
      <c r="D3" s="53"/>
      <c r="E3" s="51">
        <f>C3-B3</f>
        <v>43</v>
      </c>
    </row>
    <row r="4" spans="1:5" x14ac:dyDescent="0.25">
      <c r="A4" s="51" t="s">
        <v>92</v>
      </c>
      <c r="B4" s="54">
        <v>43000</v>
      </c>
      <c r="C4" s="54">
        <v>42749</v>
      </c>
      <c r="D4" s="53">
        <v>43100</v>
      </c>
      <c r="E4" s="51">
        <f>D4-B4+14</f>
        <v>114</v>
      </c>
    </row>
    <row r="5" spans="1:5" x14ac:dyDescent="0.25">
      <c r="A5" s="51" t="s">
        <v>93</v>
      </c>
      <c r="B5" s="55">
        <v>43038</v>
      </c>
      <c r="C5" s="54">
        <v>43081</v>
      </c>
      <c r="D5" s="53"/>
      <c r="E5" s="51">
        <f>C5-B5</f>
        <v>43</v>
      </c>
    </row>
    <row r="6" spans="1:5" x14ac:dyDescent="0.25">
      <c r="A6" s="51" t="s">
        <v>94</v>
      </c>
      <c r="B6" s="54">
        <v>43054</v>
      </c>
      <c r="C6" s="54">
        <v>43054</v>
      </c>
      <c r="D6" s="53"/>
      <c r="E6" s="51">
        <v>1</v>
      </c>
    </row>
    <row r="7" spans="1:5" x14ac:dyDescent="0.25">
      <c r="A7" s="51" t="s">
        <v>95</v>
      </c>
      <c r="B7" s="55">
        <v>43038</v>
      </c>
      <c r="C7" s="54">
        <v>42745</v>
      </c>
      <c r="D7" s="53">
        <v>43100</v>
      </c>
      <c r="E7" s="51">
        <f>D7-B7+10</f>
        <v>72</v>
      </c>
    </row>
    <row r="8" spans="1:5" x14ac:dyDescent="0.25">
      <c r="A8" s="51" t="s">
        <v>96</v>
      </c>
      <c r="B8" s="54">
        <v>43025</v>
      </c>
      <c r="C8" s="54">
        <v>43046</v>
      </c>
      <c r="D8" s="53"/>
      <c r="E8" s="51">
        <f>C8-B8</f>
        <v>21</v>
      </c>
    </row>
    <row r="9" spans="1:5" x14ac:dyDescent="0.25">
      <c r="A9" s="51" t="s">
        <v>97</v>
      </c>
      <c r="B9" s="54">
        <v>43001</v>
      </c>
      <c r="C9" s="54">
        <v>43070</v>
      </c>
      <c r="D9" s="53"/>
      <c r="E9" s="51">
        <f>C9-B9</f>
        <v>69</v>
      </c>
    </row>
    <row r="10" spans="1:5" x14ac:dyDescent="0.25">
      <c r="A10" s="51" t="s">
        <v>98</v>
      </c>
      <c r="B10" s="54">
        <v>42995</v>
      </c>
      <c r="C10" s="54">
        <v>43070</v>
      </c>
      <c r="D10" s="53"/>
      <c r="E10" s="51">
        <f>(C10-B10)</f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D188-1CF0-427D-B04C-2A80DAB944E1}">
  <dimension ref="A1:CC213"/>
  <sheetViews>
    <sheetView tabSelected="1" topLeftCell="BN1" workbookViewId="0">
      <selection activeCell="AZ12" sqref="AZ12"/>
    </sheetView>
  </sheetViews>
  <sheetFormatPr defaultRowHeight="15" x14ac:dyDescent="0.25"/>
  <cols>
    <col min="1" max="1" width="27" style="11" bestFit="1" customWidth="1"/>
    <col min="2" max="2" width="14.85546875" bestFit="1" customWidth="1"/>
    <col min="3" max="3" width="11.85546875" bestFit="1" customWidth="1"/>
    <col min="4" max="4" width="14" bestFit="1" customWidth="1"/>
    <col min="5" max="5" width="7.28515625" bestFit="1" customWidth="1"/>
    <col min="6" max="6" width="10.5703125" bestFit="1" customWidth="1"/>
    <col min="7" max="7" width="14.5703125" bestFit="1" customWidth="1"/>
    <col min="8" max="8" width="15" bestFit="1" customWidth="1"/>
    <col min="9" max="9" width="13" bestFit="1" customWidth="1"/>
    <col min="10" max="10" width="10.42578125" bestFit="1" customWidth="1"/>
    <col min="12" max="12" width="10.7109375" bestFit="1" customWidth="1"/>
    <col min="13" max="13" width="14.42578125" bestFit="1" customWidth="1"/>
    <col min="14" max="14" width="10.28515625" bestFit="1" customWidth="1"/>
    <col min="15" max="15" width="10" bestFit="1" customWidth="1"/>
    <col min="17" max="17" width="9.5703125" bestFit="1" customWidth="1"/>
    <col min="18" max="18" width="9.42578125" bestFit="1" customWidth="1"/>
    <col min="20" max="20" width="12.7109375" bestFit="1" customWidth="1"/>
    <col min="21" max="21" width="9" bestFit="1" customWidth="1"/>
    <col min="22" max="22" width="10.42578125" bestFit="1" customWidth="1"/>
    <col min="23" max="23" width="6" bestFit="1" customWidth="1"/>
    <col min="24" max="24" width="7.140625" bestFit="1" customWidth="1"/>
    <col min="25" max="25" width="8.28515625" bestFit="1" customWidth="1"/>
    <col min="26" max="26" width="10" bestFit="1" customWidth="1"/>
    <col min="27" max="27" width="3.42578125" bestFit="1" customWidth="1"/>
    <col min="28" max="28" width="4.85546875" bestFit="1" customWidth="1"/>
    <col min="29" max="29" width="15" bestFit="1" customWidth="1"/>
    <col min="30" max="30" width="16.42578125" bestFit="1" customWidth="1"/>
    <col min="31" max="31" width="7.5703125" bestFit="1" customWidth="1"/>
    <col min="32" max="32" width="9" bestFit="1" customWidth="1"/>
    <col min="33" max="33" width="19.7109375" bestFit="1" customWidth="1"/>
    <col min="34" max="34" width="20.5703125" bestFit="1" customWidth="1"/>
    <col min="35" max="35" width="29.140625" bestFit="1" customWidth="1"/>
    <col min="36" max="36" width="30.7109375" bestFit="1" customWidth="1"/>
    <col min="37" max="37" width="12" bestFit="1" customWidth="1"/>
    <col min="38" max="38" width="13.5703125" bestFit="1" customWidth="1"/>
    <col min="39" max="39" width="140.85546875" bestFit="1" customWidth="1"/>
    <col min="40" max="40" width="9.85546875" bestFit="1" customWidth="1"/>
    <col min="41" max="41" width="58.7109375" bestFit="1" customWidth="1"/>
    <col min="43" max="43" width="11.85546875" bestFit="1" customWidth="1"/>
    <col min="44" max="44" width="18.42578125" bestFit="1" customWidth="1"/>
    <col min="45" max="45" width="12.5703125" bestFit="1" customWidth="1"/>
    <col min="46" max="46" width="12" bestFit="1" customWidth="1"/>
    <col min="47" max="47" width="10.7109375" bestFit="1" customWidth="1"/>
    <col min="48" max="48" width="8.5703125" bestFit="1" customWidth="1"/>
    <col min="49" max="49" width="11.28515625" bestFit="1" customWidth="1"/>
    <col min="50" max="50" width="10.140625" bestFit="1" customWidth="1"/>
    <col min="51" max="51" width="15.140625" bestFit="1" customWidth="1"/>
    <col min="52" max="52" width="10.42578125" bestFit="1" customWidth="1"/>
    <col min="54" max="54" width="10.7109375" bestFit="1" customWidth="1"/>
    <col min="55" max="55" width="16.85546875" bestFit="1" customWidth="1"/>
    <col min="56" max="56" width="23.7109375" bestFit="1" customWidth="1"/>
    <col min="58" max="58" width="8.140625" bestFit="1" customWidth="1"/>
    <col min="59" max="59" width="6" bestFit="1" customWidth="1"/>
    <col min="60" max="60" width="8.28515625" bestFit="1" customWidth="1"/>
    <col min="61" max="61" width="9.7109375" bestFit="1" customWidth="1"/>
    <col min="62" max="62" width="11.42578125" bestFit="1" customWidth="1"/>
    <col min="63" max="63" width="8.140625" bestFit="1" customWidth="1"/>
    <col min="64" max="64" width="9.5703125" bestFit="1" customWidth="1"/>
    <col min="65" max="65" width="5.140625" bestFit="1" customWidth="1"/>
    <col min="66" max="66" width="6.5703125" bestFit="1" customWidth="1"/>
    <col min="67" max="67" width="7.5703125" bestFit="1" customWidth="1"/>
    <col min="68" max="68" width="9.42578125" bestFit="1" customWidth="1"/>
    <col min="69" max="69" width="3.140625" bestFit="1" customWidth="1"/>
    <col min="70" max="70" width="4.5703125" bestFit="1" customWidth="1"/>
    <col min="71" max="71" width="13.5703125" bestFit="1" customWidth="1"/>
    <col min="72" max="72" width="15" bestFit="1" customWidth="1"/>
    <col min="73" max="73" width="6.5703125" bestFit="1" customWidth="1"/>
    <col min="74" max="74" width="8" bestFit="1" customWidth="1"/>
    <col min="75" max="75" width="17" bestFit="1" customWidth="1"/>
    <col min="76" max="76" width="18.140625" bestFit="1" customWidth="1"/>
    <col min="77" max="77" width="25.7109375" bestFit="1" customWidth="1"/>
    <col min="78" max="78" width="27.140625" bestFit="1" customWidth="1"/>
    <col min="79" max="79" width="10.85546875" bestFit="1" customWidth="1"/>
    <col min="80" max="80" width="12.28515625" bestFit="1" customWidth="1"/>
    <col min="81" max="81" width="150.42578125" bestFit="1" customWidth="1"/>
  </cols>
  <sheetData>
    <row r="1" spans="1:81" x14ac:dyDescent="0.25">
      <c r="A1" s="7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L1" s="56" t="s">
        <v>0</v>
      </c>
      <c r="M1" s="56" t="s">
        <v>54</v>
      </c>
      <c r="N1" s="56" t="s">
        <v>99</v>
      </c>
      <c r="O1" s="56" t="s">
        <v>100</v>
      </c>
      <c r="P1" s="56" t="s">
        <v>101</v>
      </c>
      <c r="Q1" s="56" t="s">
        <v>102</v>
      </c>
      <c r="R1" s="56" t="s">
        <v>103</v>
      </c>
      <c r="S1" s="56" t="s">
        <v>104</v>
      </c>
      <c r="T1" s="56" t="s">
        <v>105</v>
      </c>
      <c r="U1" s="56" t="s">
        <v>9</v>
      </c>
      <c r="V1" s="56" t="s">
        <v>106</v>
      </c>
      <c r="W1" s="56" t="s">
        <v>4</v>
      </c>
      <c r="X1" s="56" t="s">
        <v>107</v>
      </c>
      <c r="Y1" s="56" t="s">
        <v>108</v>
      </c>
      <c r="Z1" s="56" t="s">
        <v>109</v>
      </c>
      <c r="AA1" s="56" t="s">
        <v>110</v>
      </c>
      <c r="AB1" s="56" t="s">
        <v>111</v>
      </c>
      <c r="AC1" s="56" t="s">
        <v>112</v>
      </c>
      <c r="AD1" s="56" t="s">
        <v>113</v>
      </c>
      <c r="AE1" s="56" t="s">
        <v>114</v>
      </c>
      <c r="AF1" s="56" t="s">
        <v>115</v>
      </c>
      <c r="AG1" s="56" t="s">
        <v>116</v>
      </c>
      <c r="AH1" s="56" t="s">
        <v>117</v>
      </c>
      <c r="AI1" s="56" t="s">
        <v>118</v>
      </c>
      <c r="AJ1" s="56" t="s">
        <v>119</v>
      </c>
      <c r="AK1" s="56" t="s">
        <v>3</v>
      </c>
      <c r="AL1" s="56" t="s">
        <v>120</v>
      </c>
      <c r="AM1" s="56" t="s">
        <v>121</v>
      </c>
      <c r="AN1" s="56" t="s">
        <v>122</v>
      </c>
      <c r="AO1" s="56" t="s">
        <v>123</v>
      </c>
      <c r="AQ1" s="67" t="s">
        <v>0</v>
      </c>
      <c r="AR1" s="67" t="s">
        <v>54</v>
      </c>
      <c r="AS1" s="67" t="s">
        <v>99</v>
      </c>
      <c r="AT1" s="67" t="s">
        <v>100</v>
      </c>
      <c r="AU1" s="67" t="s">
        <v>101</v>
      </c>
      <c r="AV1" s="67" t="s">
        <v>102</v>
      </c>
      <c r="AW1" s="67" t="s">
        <v>103</v>
      </c>
      <c r="AX1" s="67" t="s">
        <v>104</v>
      </c>
      <c r="AY1" s="67" t="s">
        <v>105</v>
      </c>
      <c r="AZ1" s="67" t="s">
        <v>9</v>
      </c>
      <c r="BB1" s="73" t="s">
        <v>0</v>
      </c>
      <c r="BC1" s="73" t="s">
        <v>54</v>
      </c>
      <c r="BD1" s="73" t="s">
        <v>99</v>
      </c>
      <c r="BE1" s="73" t="s">
        <v>100</v>
      </c>
      <c r="BF1" s="73" t="s">
        <v>101</v>
      </c>
      <c r="BG1" s="73" t="s">
        <v>102</v>
      </c>
      <c r="BH1" s="73" t="s">
        <v>103</v>
      </c>
      <c r="BI1" s="73" t="s">
        <v>104</v>
      </c>
      <c r="BJ1" s="73" t="s">
        <v>105</v>
      </c>
      <c r="BK1" s="73" t="s">
        <v>9</v>
      </c>
      <c r="BL1" s="73" t="s">
        <v>106</v>
      </c>
      <c r="BM1" s="73" t="s">
        <v>4</v>
      </c>
      <c r="BN1" s="73" t="s">
        <v>107</v>
      </c>
      <c r="BO1" s="73" t="s">
        <v>108</v>
      </c>
      <c r="BP1" s="73" t="s">
        <v>109</v>
      </c>
      <c r="BQ1" s="73" t="s">
        <v>110</v>
      </c>
      <c r="BR1" s="73" t="s">
        <v>111</v>
      </c>
      <c r="BS1" s="73" t="s">
        <v>112</v>
      </c>
      <c r="BT1" s="73" t="s">
        <v>113</v>
      </c>
      <c r="BU1" s="73" t="s">
        <v>114</v>
      </c>
      <c r="BV1" s="73" t="s">
        <v>115</v>
      </c>
      <c r="BW1" s="73" t="s">
        <v>116</v>
      </c>
      <c r="BX1" s="73" t="s">
        <v>117</v>
      </c>
      <c r="BY1" s="73" t="s">
        <v>118</v>
      </c>
      <c r="BZ1" s="73" t="s">
        <v>119</v>
      </c>
      <c r="CA1" s="73" t="s">
        <v>3</v>
      </c>
      <c r="CB1" s="73" t="s">
        <v>120</v>
      </c>
      <c r="CC1" s="73" t="s">
        <v>121</v>
      </c>
    </row>
    <row r="2" spans="1:81" x14ac:dyDescent="0.25">
      <c r="A2" s="8">
        <v>44882</v>
      </c>
      <c r="B2" s="3" t="s">
        <v>40</v>
      </c>
      <c r="C2" s="3" t="s">
        <v>10</v>
      </c>
      <c r="D2" s="4">
        <v>7.5</v>
      </c>
      <c r="E2" s="4">
        <v>71.099999999999994</v>
      </c>
      <c r="F2" s="4">
        <v>8.5</v>
      </c>
      <c r="G2" s="4">
        <v>116.5</v>
      </c>
      <c r="H2" s="4">
        <v>174.8</v>
      </c>
      <c r="I2" s="4">
        <v>0.1</v>
      </c>
      <c r="J2" s="3">
        <v>7.2</v>
      </c>
      <c r="L2" s="57">
        <v>44092</v>
      </c>
      <c r="M2" s="58" t="s">
        <v>42</v>
      </c>
      <c r="N2" s="58" t="s">
        <v>124</v>
      </c>
      <c r="O2" s="59">
        <v>0.51388888888888895</v>
      </c>
      <c r="P2" s="59">
        <v>0.61458333333333337</v>
      </c>
      <c r="Q2" s="58" t="s">
        <v>125</v>
      </c>
      <c r="R2" s="58" t="s">
        <v>126</v>
      </c>
      <c r="S2" s="58" t="s">
        <v>127</v>
      </c>
      <c r="T2" s="58">
        <v>95</v>
      </c>
      <c r="U2" s="58"/>
      <c r="V2" s="58"/>
      <c r="W2" s="58">
        <v>59.6</v>
      </c>
      <c r="X2" s="58">
        <v>58.4</v>
      </c>
      <c r="Y2" s="58">
        <v>6.26</v>
      </c>
      <c r="Z2" s="58">
        <v>6.17</v>
      </c>
      <c r="AA2" s="65"/>
      <c r="AB2" s="65"/>
      <c r="AC2" s="58"/>
      <c r="AD2" s="58"/>
      <c r="AE2" s="58">
        <v>0.1</v>
      </c>
      <c r="AF2" s="58">
        <v>0.1</v>
      </c>
      <c r="AG2" s="58">
        <v>185.9</v>
      </c>
      <c r="AH2" s="58">
        <v>185</v>
      </c>
      <c r="AI2" s="58">
        <v>252.8</v>
      </c>
      <c r="AJ2" s="58">
        <v>233.2</v>
      </c>
      <c r="AK2" s="58">
        <v>13.9</v>
      </c>
      <c r="AL2" s="58">
        <v>13.7</v>
      </c>
      <c r="AM2" s="58"/>
      <c r="AN2" s="58" t="s">
        <v>128</v>
      </c>
      <c r="AO2" s="58" t="s">
        <v>129</v>
      </c>
      <c r="AQ2" s="68"/>
      <c r="AR2" s="68"/>
      <c r="AS2" s="68"/>
      <c r="AT2" s="68"/>
      <c r="AU2" s="68"/>
      <c r="AV2" s="68"/>
      <c r="AW2" s="68"/>
      <c r="AX2" s="68"/>
      <c r="AY2" s="68"/>
      <c r="AZ2" s="68"/>
      <c r="BB2" s="74">
        <v>43011</v>
      </c>
      <c r="BC2" s="75" t="s">
        <v>42</v>
      </c>
      <c r="BD2" s="75" t="s">
        <v>164</v>
      </c>
      <c r="BE2" s="76">
        <v>0.55902777777777912</v>
      </c>
      <c r="BF2" s="76">
        <v>0.65625000000000155</v>
      </c>
      <c r="BG2" s="75" t="s">
        <v>160</v>
      </c>
      <c r="BH2" s="75" t="s">
        <v>138</v>
      </c>
      <c r="BI2" s="75" t="s">
        <v>127</v>
      </c>
      <c r="BJ2" s="70">
        <v>85</v>
      </c>
      <c r="BK2" s="70">
        <v>0</v>
      </c>
      <c r="BL2" s="70">
        <v>0</v>
      </c>
      <c r="BM2" s="70">
        <v>0</v>
      </c>
      <c r="BN2" s="70">
        <v>0</v>
      </c>
      <c r="BO2" s="70">
        <v>0</v>
      </c>
      <c r="BP2" s="70">
        <v>0</v>
      </c>
      <c r="BQ2" s="70">
        <v>0</v>
      </c>
      <c r="BR2" s="70">
        <v>0</v>
      </c>
      <c r="BS2" s="70">
        <v>0</v>
      </c>
      <c r="BT2" s="70">
        <v>0</v>
      </c>
      <c r="BU2" s="70">
        <v>0</v>
      </c>
      <c r="BV2" s="70">
        <v>0</v>
      </c>
      <c r="BW2" s="70">
        <v>0</v>
      </c>
      <c r="BX2" s="70">
        <v>0</v>
      </c>
      <c r="BY2" s="70">
        <v>0</v>
      </c>
      <c r="BZ2" s="70">
        <v>0</v>
      </c>
      <c r="CA2" s="70">
        <v>0</v>
      </c>
      <c r="CB2" s="70">
        <v>0</v>
      </c>
      <c r="CC2" s="75" t="s">
        <v>165</v>
      </c>
    </row>
    <row r="3" spans="1:81" x14ac:dyDescent="0.25">
      <c r="A3" s="8">
        <v>44819</v>
      </c>
      <c r="B3" s="3" t="s">
        <v>40</v>
      </c>
      <c r="C3" s="3" t="s">
        <v>11</v>
      </c>
      <c r="D3" s="4">
        <v>11.7</v>
      </c>
      <c r="E3" s="4">
        <v>69.5</v>
      </c>
      <c r="F3" s="4">
        <v>7.46</v>
      </c>
      <c r="G3" s="4">
        <v>139.69999999999999</v>
      </c>
      <c r="H3" s="4">
        <v>187.5</v>
      </c>
      <c r="I3" s="4">
        <v>0.1</v>
      </c>
      <c r="J3" s="3">
        <v>17.7</v>
      </c>
      <c r="L3" s="61">
        <v>44092</v>
      </c>
      <c r="M3" s="60" t="s">
        <v>40</v>
      </c>
      <c r="N3" s="60" t="s">
        <v>124</v>
      </c>
      <c r="O3" s="62">
        <v>0.64513888888888882</v>
      </c>
      <c r="P3" s="62">
        <v>0.68680555555555556</v>
      </c>
      <c r="Q3" s="60" t="s">
        <v>125</v>
      </c>
      <c r="R3" s="60" t="s">
        <v>126</v>
      </c>
      <c r="S3" s="60" t="s">
        <v>127</v>
      </c>
      <c r="T3" s="60">
        <v>90</v>
      </c>
      <c r="U3" s="60"/>
      <c r="V3" s="60"/>
      <c r="W3" s="60">
        <v>48</v>
      </c>
      <c r="X3" s="60">
        <v>48</v>
      </c>
      <c r="Y3" s="60">
        <v>5.17</v>
      </c>
      <c r="Z3" s="60">
        <v>5.2</v>
      </c>
      <c r="AA3" s="66"/>
      <c r="AB3" s="66"/>
      <c r="AC3" s="60"/>
      <c r="AD3" s="60"/>
      <c r="AE3" s="60">
        <v>0</v>
      </c>
      <c r="AF3" s="60">
        <v>0</v>
      </c>
      <c r="AG3" s="60">
        <v>67.3</v>
      </c>
      <c r="AH3" s="60">
        <v>67.599999999999994</v>
      </c>
      <c r="AI3" s="60">
        <v>90</v>
      </c>
      <c r="AJ3" s="60">
        <v>90</v>
      </c>
      <c r="AK3" s="60">
        <v>11.8</v>
      </c>
      <c r="AL3" s="60">
        <v>11.7</v>
      </c>
      <c r="AM3" s="60"/>
      <c r="AN3" s="60" t="s">
        <v>128</v>
      </c>
      <c r="AO3" s="60" t="s">
        <v>129</v>
      </c>
      <c r="AQ3" s="68"/>
      <c r="AR3" s="68"/>
      <c r="AS3" s="68"/>
      <c r="AT3" s="68"/>
      <c r="AU3" s="68"/>
      <c r="AV3" s="68"/>
      <c r="AW3" s="68"/>
      <c r="AX3" s="68"/>
      <c r="AY3" s="68"/>
      <c r="AZ3" s="68"/>
      <c r="BB3" s="74">
        <v>43013</v>
      </c>
      <c r="BC3" s="75" t="s">
        <v>83</v>
      </c>
      <c r="BD3" s="75" t="s">
        <v>164</v>
      </c>
      <c r="BE3" s="76">
        <v>0.4465277777777788</v>
      </c>
      <c r="BF3" s="76">
        <v>0.45000000000000107</v>
      </c>
      <c r="BG3" s="75" t="s">
        <v>160</v>
      </c>
      <c r="BH3" s="75" t="s">
        <v>138</v>
      </c>
      <c r="BI3" s="75" t="s">
        <v>133</v>
      </c>
      <c r="BJ3" s="70">
        <v>90</v>
      </c>
      <c r="BK3" s="70">
        <v>0</v>
      </c>
      <c r="BL3" s="70">
        <v>0</v>
      </c>
      <c r="BM3" s="70">
        <v>0</v>
      </c>
      <c r="BN3" s="70">
        <v>0</v>
      </c>
      <c r="BO3" s="70">
        <v>0</v>
      </c>
      <c r="BP3" s="70">
        <v>0</v>
      </c>
      <c r="BQ3" s="70">
        <v>0</v>
      </c>
      <c r="BR3" s="70">
        <v>0</v>
      </c>
      <c r="BS3" s="70">
        <v>0</v>
      </c>
      <c r="BT3" s="70">
        <v>0</v>
      </c>
      <c r="BU3" s="70">
        <v>0</v>
      </c>
      <c r="BV3" s="70">
        <v>0</v>
      </c>
      <c r="BW3" s="70">
        <v>0</v>
      </c>
      <c r="BX3" s="70">
        <v>0</v>
      </c>
      <c r="BY3" s="70">
        <v>0</v>
      </c>
      <c r="BZ3" s="70">
        <v>0</v>
      </c>
      <c r="CA3" s="70">
        <v>0</v>
      </c>
      <c r="CB3" s="70">
        <v>0</v>
      </c>
    </row>
    <row r="4" spans="1:81" x14ac:dyDescent="0.25">
      <c r="A4" s="8">
        <v>44819</v>
      </c>
      <c r="B4" s="3" t="s">
        <v>40</v>
      </c>
      <c r="C4" s="3" t="s">
        <v>11</v>
      </c>
      <c r="D4" s="4">
        <v>11.6</v>
      </c>
      <c r="E4" s="4">
        <v>66.599999999999994</v>
      </c>
      <c r="F4" s="4">
        <v>7.3</v>
      </c>
      <c r="G4" s="4">
        <v>139.6</v>
      </c>
      <c r="H4" s="4">
        <v>187.8</v>
      </c>
      <c r="I4" s="4">
        <v>0.1</v>
      </c>
      <c r="J4" s="3">
        <v>17.7</v>
      </c>
      <c r="L4" s="57">
        <v>44099</v>
      </c>
      <c r="M4" s="58" t="s">
        <v>49</v>
      </c>
      <c r="N4" s="58" t="s">
        <v>124</v>
      </c>
      <c r="O4" s="59">
        <v>0.48888888888888887</v>
      </c>
      <c r="P4" s="59">
        <v>0.52847222222222223</v>
      </c>
      <c r="Q4" s="58" t="s">
        <v>130</v>
      </c>
      <c r="R4" s="58" t="s">
        <v>126</v>
      </c>
      <c r="S4" s="58" t="s">
        <v>131</v>
      </c>
      <c r="T4" s="58">
        <v>90</v>
      </c>
      <c r="U4" s="58"/>
      <c r="V4" s="58"/>
      <c r="W4" s="58">
        <v>86.3</v>
      </c>
      <c r="X4" s="58">
        <v>85.9</v>
      </c>
      <c r="Y4" s="58">
        <v>9.2200000000000006</v>
      </c>
      <c r="Z4" s="58">
        <v>9.19</v>
      </c>
      <c r="AA4" s="65"/>
      <c r="AB4" s="65"/>
      <c r="AC4" s="58"/>
      <c r="AD4" s="58"/>
      <c r="AE4" s="58">
        <v>0.1</v>
      </c>
      <c r="AF4" s="58">
        <v>0.1</v>
      </c>
      <c r="AG4" s="58">
        <v>86.8</v>
      </c>
      <c r="AH4" s="58">
        <v>86.9</v>
      </c>
      <c r="AI4" s="58">
        <v>114.3</v>
      </c>
      <c r="AJ4" s="58">
        <v>114.2</v>
      </c>
      <c r="AK4" s="58">
        <v>12.5</v>
      </c>
      <c r="AL4" s="58">
        <v>12.5</v>
      </c>
      <c r="AM4" s="58"/>
      <c r="AN4" s="58" t="s">
        <v>128</v>
      </c>
      <c r="AO4" s="58" t="s">
        <v>129</v>
      </c>
      <c r="AQ4" s="68"/>
      <c r="AR4" s="68"/>
      <c r="AS4" s="68"/>
      <c r="AT4" s="68"/>
      <c r="AU4" s="68"/>
      <c r="AV4" s="68"/>
      <c r="AW4" s="68"/>
      <c r="AX4" s="68"/>
      <c r="AY4" s="68"/>
      <c r="AZ4" s="68"/>
      <c r="BB4" s="74">
        <v>43013</v>
      </c>
      <c r="BC4" s="75" t="s">
        <v>41</v>
      </c>
      <c r="BD4" s="75" t="s">
        <v>164</v>
      </c>
      <c r="BE4" s="76">
        <v>0.49652777777777896</v>
      </c>
      <c r="BF4" s="76">
        <v>0.51388888888889006</v>
      </c>
      <c r="BG4" s="75" t="s">
        <v>160</v>
      </c>
      <c r="BH4" s="75" t="s">
        <v>126</v>
      </c>
      <c r="BI4" s="75" t="s">
        <v>127</v>
      </c>
      <c r="BJ4" s="70">
        <v>80</v>
      </c>
      <c r="BK4" s="70">
        <v>0</v>
      </c>
      <c r="BL4" s="70">
        <v>0</v>
      </c>
      <c r="BM4" s="70">
        <v>0</v>
      </c>
      <c r="BN4" s="70">
        <v>0</v>
      </c>
      <c r="BO4" s="70">
        <v>0</v>
      </c>
      <c r="BP4" s="70">
        <v>0</v>
      </c>
      <c r="BQ4" s="70">
        <v>0</v>
      </c>
      <c r="BR4" s="70">
        <v>0</v>
      </c>
      <c r="BS4" s="70">
        <v>0</v>
      </c>
      <c r="BT4" s="70">
        <v>0</v>
      </c>
      <c r="BU4" s="70">
        <v>0</v>
      </c>
      <c r="BV4" s="70">
        <v>0</v>
      </c>
      <c r="BW4" s="70">
        <v>0</v>
      </c>
      <c r="BX4" s="70">
        <v>0</v>
      </c>
      <c r="BY4" s="70">
        <v>0</v>
      </c>
      <c r="BZ4" s="70">
        <v>0</v>
      </c>
      <c r="CA4" s="70">
        <v>0</v>
      </c>
      <c r="CB4" s="70">
        <v>0</v>
      </c>
      <c r="CC4" s="75" t="s">
        <v>166</v>
      </c>
    </row>
    <row r="5" spans="1:81" x14ac:dyDescent="0.25">
      <c r="A5" s="8">
        <v>44826</v>
      </c>
      <c r="B5" s="3" t="s">
        <v>40</v>
      </c>
      <c r="C5" s="3" t="s">
        <v>12</v>
      </c>
      <c r="D5" s="4">
        <v>10.5</v>
      </c>
      <c r="E5" s="4">
        <v>70.5</v>
      </c>
      <c r="F5" s="4">
        <v>7.84</v>
      </c>
      <c r="G5" s="4">
        <v>138.9</v>
      </c>
      <c r="H5" s="4">
        <v>187.9</v>
      </c>
      <c r="I5" s="4">
        <v>0.1</v>
      </c>
      <c r="J5" s="3">
        <v>18.8</v>
      </c>
      <c r="L5" s="61">
        <v>44099</v>
      </c>
      <c r="M5" s="60" t="s">
        <v>63</v>
      </c>
      <c r="N5" s="60" t="s">
        <v>124</v>
      </c>
      <c r="O5" s="62">
        <v>0.52916666666666667</v>
      </c>
      <c r="P5" s="62">
        <v>0.57847222222222217</v>
      </c>
      <c r="Q5" s="60" t="s">
        <v>130</v>
      </c>
      <c r="R5" s="60" t="s">
        <v>126</v>
      </c>
      <c r="S5" s="60" t="s">
        <v>131</v>
      </c>
      <c r="T5" s="60">
        <v>90</v>
      </c>
      <c r="U5" s="60"/>
      <c r="V5" s="60"/>
      <c r="W5" s="60">
        <v>89.7</v>
      </c>
      <c r="X5" s="60">
        <v>89.3</v>
      </c>
      <c r="Y5" s="60">
        <v>9.66</v>
      </c>
      <c r="Z5" s="60">
        <v>9.56</v>
      </c>
      <c r="AA5" s="66"/>
      <c r="AB5" s="66"/>
      <c r="AC5" s="60"/>
      <c r="AD5" s="60"/>
      <c r="AE5" s="60">
        <v>0.1</v>
      </c>
      <c r="AF5" s="60">
        <v>0.1</v>
      </c>
      <c r="AG5" s="60">
        <v>87.3</v>
      </c>
      <c r="AH5" s="60">
        <v>87.3</v>
      </c>
      <c r="AI5" s="60">
        <v>115.7</v>
      </c>
      <c r="AJ5" s="60">
        <v>115.7</v>
      </c>
      <c r="AK5" s="60">
        <v>12.1</v>
      </c>
      <c r="AL5" s="60">
        <v>12.1</v>
      </c>
      <c r="AM5" s="60"/>
      <c r="AN5" s="60" t="s">
        <v>128</v>
      </c>
      <c r="AO5" s="60" t="s">
        <v>129</v>
      </c>
      <c r="AQ5" s="69">
        <v>43705</v>
      </c>
      <c r="AR5" s="71" t="s">
        <v>43</v>
      </c>
      <c r="AS5" s="71" t="s">
        <v>124</v>
      </c>
      <c r="AT5" s="72">
        <v>0.43194444444444446</v>
      </c>
      <c r="AU5" s="72">
        <v>0.44027777777777777</v>
      </c>
      <c r="AV5" s="71" t="s">
        <v>160</v>
      </c>
      <c r="AW5" s="71" t="s">
        <v>126</v>
      </c>
      <c r="AX5" s="71" t="s">
        <v>133</v>
      </c>
      <c r="AY5" s="71">
        <v>100</v>
      </c>
      <c r="AZ5" s="68"/>
      <c r="BB5" s="74">
        <v>43020</v>
      </c>
      <c r="BC5" s="75" t="s">
        <v>40</v>
      </c>
      <c r="BD5" s="75" t="s">
        <v>167</v>
      </c>
      <c r="BE5" s="76">
        <v>0.61458333333333481</v>
      </c>
      <c r="BF5" s="76">
        <v>0.67361111111111271</v>
      </c>
      <c r="BG5" s="75" t="s">
        <v>125</v>
      </c>
      <c r="BH5" s="75" t="s">
        <v>126</v>
      </c>
      <c r="BI5" s="75" t="s">
        <v>133</v>
      </c>
      <c r="BJ5" s="70">
        <v>75</v>
      </c>
      <c r="BK5" s="70">
        <v>0</v>
      </c>
      <c r="BL5" s="70">
        <v>0</v>
      </c>
      <c r="BM5" s="70">
        <v>0</v>
      </c>
      <c r="BN5" s="70">
        <v>0</v>
      </c>
      <c r="BO5" s="70">
        <v>0</v>
      </c>
      <c r="BP5" s="70">
        <v>0</v>
      </c>
      <c r="BQ5" s="70">
        <v>0</v>
      </c>
      <c r="BR5" s="70">
        <v>0</v>
      </c>
      <c r="BS5" s="70">
        <v>0</v>
      </c>
      <c r="BT5" s="70">
        <v>0</v>
      </c>
      <c r="BU5" s="70">
        <v>0</v>
      </c>
      <c r="BV5" s="70">
        <v>0</v>
      </c>
      <c r="BW5" s="70">
        <v>0</v>
      </c>
      <c r="BX5" s="70">
        <v>0</v>
      </c>
      <c r="BY5" s="70">
        <v>0</v>
      </c>
      <c r="BZ5" s="70">
        <v>0</v>
      </c>
      <c r="CA5" s="70">
        <v>0</v>
      </c>
      <c r="CB5" s="70">
        <v>0</v>
      </c>
    </row>
    <row r="6" spans="1:81" x14ac:dyDescent="0.25">
      <c r="A6" s="8">
        <v>44826</v>
      </c>
      <c r="B6" s="3" t="s">
        <v>40</v>
      </c>
      <c r="C6" s="3" t="s">
        <v>12</v>
      </c>
      <c r="D6" s="4">
        <v>10.5</v>
      </c>
      <c r="E6" s="4">
        <v>70</v>
      </c>
      <c r="F6" s="4">
        <v>7.8</v>
      </c>
      <c r="G6" s="4">
        <v>135.9</v>
      </c>
      <c r="H6" s="4">
        <v>189.9</v>
      </c>
      <c r="I6" s="4">
        <v>0.1</v>
      </c>
      <c r="J6" s="3">
        <v>18.8</v>
      </c>
      <c r="L6" s="57">
        <v>44099</v>
      </c>
      <c r="M6" s="58" t="s">
        <v>41</v>
      </c>
      <c r="N6" s="58" t="s">
        <v>124</v>
      </c>
      <c r="O6" s="59">
        <v>0.63888888888888895</v>
      </c>
      <c r="P6" s="59">
        <v>0.65902777777777777</v>
      </c>
      <c r="Q6" s="58" t="s">
        <v>130</v>
      </c>
      <c r="R6" s="58" t="s">
        <v>126</v>
      </c>
      <c r="S6" s="58" t="s">
        <v>132</v>
      </c>
      <c r="T6" s="58">
        <v>80</v>
      </c>
      <c r="U6" s="58"/>
      <c r="V6" s="58"/>
      <c r="W6" s="58">
        <v>96.7</v>
      </c>
      <c r="X6" s="58">
        <v>96.4</v>
      </c>
      <c r="Y6" s="58">
        <v>9.73</v>
      </c>
      <c r="Z6" s="58">
        <v>9.7200000000000006</v>
      </c>
      <c r="AA6" s="65"/>
      <c r="AB6" s="65"/>
      <c r="AC6" s="58"/>
      <c r="AD6" s="58"/>
      <c r="AE6" s="58">
        <v>0.1</v>
      </c>
      <c r="AF6" s="58">
        <v>0.1</v>
      </c>
      <c r="AG6" s="58">
        <v>134.1</v>
      </c>
      <c r="AH6" s="58">
        <v>135.1</v>
      </c>
      <c r="AI6" s="58">
        <v>166.6</v>
      </c>
      <c r="AJ6" s="58">
        <v>166.7</v>
      </c>
      <c r="AK6" s="58">
        <v>15.1</v>
      </c>
      <c r="AL6" s="58">
        <v>15.1</v>
      </c>
      <c r="AM6" s="58"/>
      <c r="AN6" s="58" t="s">
        <v>128</v>
      </c>
      <c r="AO6" s="58" t="s">
        <v>129</v>
      </c>
      <c r="AQ6" s="69">
        <v>43705</v>
      </c>
      <c r="AR6" s="71" t="s">
        <v>40</v>
      </c>
      <c r="AS6" s="71" t="s">
        <v>124</v>
      </c>
      <c r="AT6" s="72">
        <v>0.46666666666666662</v>
      </c>
      <c r="AU6" s="72">
        <v>0.51458333333333328</v>
      </c>
      <c r="AV6" s="71" t="s">
        <v>160</v>
      </c>
      <c r="AW6" s="71" t="s">
        <v>126</v>
      </c>
      <c r="AX6" s="71" t="s">
        <v>127</v>
      </c>
      <c r="AY6" s="71">
        <v>95</v>
      </c>
      <c r="AZ6" s="68"/>
      <c r="BB6" s="74">
        <v>43031</v>
      </c>
      <c r="BC6" s="75" t="s">
        <v>41</v>
      </c>
      <c r="BD6" s="75" t="s">
        <v>164</v>
      </c>
      <c r="BE6" s="76">
        <v>0.46666666666666773</v>
      </c>
      <c r="BF6" s="76">
        <v>0.48194444444444556</v>
      </c>
      <c r="BG6" s="75" t="s">
        <v>130</v>
      </c>
      <c r="BH6" s="75" t="s">
        <v>126</v>
      </c>
      <c r="BI6" s="75" t="s">
        <v>133</v>
      </c>
      <c r="BJ6" s="70">
        <v>90</v>
      </c>
      <c r="BK6" s="70">
        <v>0</v>
      </c>
      <c r="BL6" s="70">
        <v>0</v>
      </c>
      <c r="BM6" s="70">
        <v>0</v>
      </c>
      <c r="BN6" s="70">
        <v>0</v>
      </c>
      <c r="BO6" s="70">
        <v>0</v>
      </c>
      <c r="BP6" s="70">
        <v>0</v>
      </c>
      <c r="BQ6" s="70">
        <v>0</v>
      </c>
      <c r="BR6" s="70">
        <v>0</v>
      </c>
      <c r="BS6" s="70">
        <v>0</v>
      </c>
      <c r="BT6" s="70">
        <v>0</v>
      </c>
      <c r="BU6" s="70">
        <v>0</v>
      </c>
      <c r="BV6" s="70">
        <v>0</v>
      </c>
      <c r="BW6" s="70">
        <v>0</v>
      </c>
      <c r="BX6" s="70">
        <v>0</v>
      </c>
      <c r="BY6" s="70">
        <v>0</v>
      </c>
      <c r="BZ6" s="70">
        <v>0</v>
      </c>
      <c r="CA6" s="70">
        <v>0</v>
      </c>
      <c r="CB6" s="70">
        <v>0</v>
      </c>
      <c r="CC6" s="75" t="s">
        <v>168</v>
      </c>
    </row>
    <row r="7" spans="1:81" x14ac:dyDescent="0.25">
      <c r="A7" s="8">
        <v>44833</v>
      </c>
      <c r="B7" s="3" t="s">
        <v>40</v>
      </c>
      <c r="C7" s="3" t="s">
        <v>10</v>
      </c>
      <c r="D7" s="4">
        <v>11.4</v>
      </c>
      <c r="E7" s="4">
        <v>68</v>
      </c>
      <c r="F7" s="4">
        <v>7.4</v>
      </c>
      <c r="G7" s="4">
        <v>138.80000000000001</v>
      </c>
      <c r="H7" s="4">
        <v>187.6</v>
      </c>
      <c r="I7" s="4">
        <v>0.1</v>
      </c>
      <c r="J7" s="3">
        <v>20</v>
      </c>
      <c r="L7" s="61">
        <v>44111</v>
      </c>
      <c r="M7" s="60" t="s">
        <v>34</v>
      </c>
      <c r="N7" s="60" t="s">
        <v>124</v>
      </c>
      <c r="O7" s="62">
        <v>0.47152777777777777</v>
      </c>
      <c r="P7" s="62">
        <v>0.4770833333333333</v>
      </c>
      <c r="Q7" s="60" t="s">
        <v>125</v>
      </c>
      <c r="R7" s="60" t="s">
        <v>126</v>
      </c>
      <c r="S7" s="60" t="s">
        <v>133</v>
      </c>
      <c r="T7" s="60">
        <v>100</v>
      </c>
      <c r="U7" s="60"/>
      <c r="V7" s="60"/>
      <c r="W7" s="60">
        <v>102.4</v>
      </c>
      <c r="X7" s="60">
        <v>102.3</v>
      </c>
      <c r="Y7" s="60">
        <v>11.43</v>
      </c>
      <c r="Z7" s="60">
        <v>11.46</v>
      </c>
      <c r="AA7" s="66"/>
      <c r="AB7" s="66"/>
      <c r="AC7" s="60"/>
      <c r="AD7" s="60"/>
      <c r="AE7" s="60">
        <v>0</v>
      </c>
      <c r="AF7" s="60">
        <v>0</v>
      </c>
      <c r="AG7" s="60">
        <v>63.6</v>
      </c>
      <c r="AH7" s="60">
        <v>63.6</v>
      </c>
      <c r="AI7" s="60">
        <v>88.3</v>
      </c>
      <c r="AJ7" s="60">
        <v>88.5</v>
      </c>
      <c r="AK7" s="60">
        <v>10.4</v>
      </c>
      <c r="AL7" s="60">
        <v>10.4</v>
      </c>
      <c r="AM7" s="60"/>
      <c r="AN7" s="60" t="s">
        <v>128</v>
      </c>
      <c r="AO7" s="60" t="s">
        <v>129</v>
      </c>
      <c r="AQ7" s="69">
        <v>43705</v>
      </c>
      <c r="AR7" s="71" t="s">
        <v>41</v>
      </c>
      <c r="AS7" s="71" t="s">
        <v>124</v>
      </c>
      <c r="AT7" s="72">
        <v>0.61249999999999993</v>
      </c>
      <c r="AU7" s="72">
        <v>0.63055555555555554</v>
      </c>
      <c r="AV7" s="71" t="s">
        <v>160</v>
      </c>
      <c r="AW7" s="71" t="s">
        <v>126</v>
      </c>
      <c r="AX7" s="71" t="s">
        <v>133</v>
      </c>
      <c r="AY7" s="71">
        <v>95</v>
      </c>
      <c r="AZ7" s="68"/>
      <c r="BB7" s="74">
        <v>43031</v>
      </c>
      <c r="BC7" s="75" t="s">
        <v>30</v>
      </c>
      <c r="BD7" s="75" t="s">
        <v>164</v>
      </c>
      <c r="BE7" s="76">
        <v>0.50347222222222343</v>
      </c>
      <c r="BF7" s="76">
        <v>0.52083333333333459</v>
      </c>
      <c r="BG7" s="75" t="s">
        <v>130</v>
      </c>
      <c r="BH7" s="75" t="s">
        <v>126</v>
      </c>
      <c r="BI7" s="75" t="s">
        <v>163</v>
      </c>
      <c r="BJ7" s="70">
        <v>60</v>
      </c>
      <c r="BK7" s="70">
        <v>0</v>
      </c>
      <c r="BL7" s="70">
        <v>0</v>
      </c>
      <c r="BM7" s="70">
        <v>0</v>
      </c>
      <c r="BN7" s="70">
        <v>0</v>
      </c>
      <c r="BO7" s="70">
        <v>0</v>
      </c>
      <c r="BP7" s="70">
        <v>0</v>
      </c>
      <c r="BQ7" s="70">
        <v>0</v>
      </c>
      <c r="BR7" s="70">
        <v>0</v>
      </c>
      <c r="BS7" s="70">
        <v>0</v>
      </c>
      <c r="BT7" s="70">
        <v>0</v>
      </c>
      <c r="BU7" s="70">
        <v>0</v>
      </c>
      <c r="BV7" s="70">
        <v>0</v>
      </c>
      <c r="BW7" s="70">
        <v>0</v>
      </c>
      <c r="BX7" s="70">
        <v>0</v>
      </c>
      <c r="BY7" s="70">
        <v>0</v>
      </c>
      <c r="BZ7" s="70">
        <v>0</v>
      </c>
      <c r="CA7" s="70">
        <v>0</v>
      </c>
      <c r="CB7" s="70">
        <v>0</v>
      </c>
      <c r="CC7" s="75" t="s">
        <v>169</v>
      </c>
    </row>
    <row r="8" spans="1:81" x14ac:dyDescent="0.25">
      <c r="A8" s="8">
        <v>44833</v>
      </c>
      <c r="B8" s="3" t="s">
        <v>40</v>
      </c>
      <c r="C8" s="3" t="s">
        <v>10</v>
      </c>
      <c r="D8" s="4">
        <v>11.4</v>
      </c>
      <c r="E8" s="4">
        <v>67.099999999999994</v>
      </c>
      <c r="F8" s="4">
        <v>7.34</v>
      </c>
      <c r="G8" s="4">
        <v>138.80000000000001</v>
      </c>
      <c r="H8" s="4">
        <v>187.7</v>
      </c>
      <c r="I8" s="4">
        <v>0.1</v>
      </c>
      <c r="J8" s="3">
        <v>20</v>
      </c>
      <c r="L8" s="57">
        <v>44111</v>
      </c>
      <c r="M8" s="58" t="s">
        <v>18</v>
      </c>
      <c r="N8" s="58" t="s">
        <v>124</v>
      </c>
      <c r="O8" s="59">
        <v>0.51736111111111105</v>
      </c>
      <c r="P8" s="59">
        <v>0.56458333333333333</v>
      </c>
      <c r="Q8" s="58" t="s">
        <v>125</v>
      </c>
      <c r="R8" s="58" t="s">
        <v>126</v>
      </c>
      <c r="S8" s="58" t="s">
        <v>133</v>
      </c>
      <c r="T8" s="58">
        <v>90</v>
      </c>
      <c r="U8" s="58"/>
      <c r="V8" s="58"/>
      <c r="W8" s="58">
        <v>100.1</v>
      </c>
      <c r="X8" s="58">
        <v>100.1</v>
      </c>
      <c r="Y8" s="58">
        <v>11</v>
      </c>
      <c r="Z8" s="58">
        <v>10.99</v>
      </c>
      <c r="AA8" s="65"/>
      <c r="AB8" s="65"/>
      <c r="AC8" s="58"/>
      <c r="AD8" s="58"/>
      <c r="AE8" s="58">
        <v>0.1</v>
      </c>
      <c r="AF8" s="58">
        <v>0.1</v>
      </c>
      <c r="AG8" s="58">
        <v>78.2</v>
      </c>
      <c r="AH8" s="58">
        <v>78.2</v>
      </c>
      <c r="AI8" s="58">
        <v>106.3</v>
      </c>
      <c r="AJ8" s="58">
        <v>106.4</v>
      </c>
      <c r="AK8" s="58">
        <v>11.1</v>
      </c>
      <c r="AL8" s="58">
        <v>11.1</v>
      </c>
      <c r="AM8" s="58" t="s">
        <v>134</v>
      </c>
      <c r="AN8" s="58" t="s">
        <v>128</v>
      </c>
      <c r="AO8" s="58" t="s">
        <v>129</v>
      </c>
      <c r="AQ8" s="69">
        <v>43706</v>
      </c>
      <c r="AR8" s="71" t="s">
        <v>34</v>
      </c>
      <c r="AS8" s="71" t="s">
        <v>124</v>
      </c>
      <c r="AT8" s="72">
        <v>0.45069444444444445</v>
      </c>
      <c r="AU8" s="72">
        <v>0.45902777777777781</v>
      </c>
      <c r="AV8" s="71" t="s">
        <v>161</v>
      </c>
      <c r="AW8" s="71" t="s">
        <v>126</v>
      </c>
      <c r="AX8" s="71" t="s">
        <v>133</v>
      </c>
      <c r="AY8" s="71">
        <v>100</v>
      </c>
      <c r="AZ8" s="68"/>
      <c r="BB8" s="74">
        <v>43031</v>
      </c>
      <c r="BC8" s="75" t="s">
        <v>42</v>
      </c>
      <c r="BD8" s="75" t="s">
        <v>164</v>
      </c>
      <c r="BE8" s="76">
        <v>0.55277777777777903</v>
      </c>
      <c r="BF8" s="76">
        <v>0.59861111111111254</v>
      </c>
      <c r="BG8" s="75" t="s">
        <v>130</v>
      </c>
      <c r="BH8" s="75" t="s">
        <v>138</v>
      </c>
      <c r="BI8" s="75" t="s">
        <v>127</v>
      </c>
      <c r="BJ8" s="70">
        <v>70</v>
      </c>
      <c r="BK8" s="70">
        <v>0</v>
      </c>
      <c r="BL8" s="70">
        <v>0</v>
      </c>
      <c r="BM8" s="70">
        <v>0</v>
      </c>
      <c r="BN8" s="70">
        <v>0</v>
      </c>
      <c r="BO8" s="70">
        <v>0</v>
      </c>
      <c r="BP8" s="70">
        <v>0</v>
      </c>
      <c r="BQ8" s="70">
        <v>0</v>
      </c>
      <c r="BR8" s="70">
        <v>0</v>
      </c>
      <c r="BS8" s="70">
        <v>0</v>
      </c>
      <c r="BT8" s="70">
        <v>0</v>
      </c>
      <c r="BU8" s="70">
        <v>0</v>
      </c>
      <c r="BV8" s="70">
        <v>0</v>
      </c>
      <c r="BW8" s="70">
        <v>0</v>
      </c>
      <c r="BX8" s="70">
        <v>0</v>
      </c>
      <c r="BY8" s="70">
        <v>0</v>
      </c>
      <c r="BZ8" s="70">
        <v>0</v>
      </c>
      <c r="CA8" s="70">
        <v>0</v>
      </c>
      <c r="CB8" s="70">
        <v>0</v>
      </c>
      <c r="CC8" s="75" t="s">
        <v>170</v>
      </c>
    </row>
    <row r="9" spans="1:81" x14ac:dyDescent="0.25">
      <c r="A9" s="9">
        <v>44847</v>
      </c>
      <c r="B9" s="3" t="s">
        <v>40</v>
      </c>
      <c r="C9" s="3" t="s">
        <v>10</v>
      </c>
      <c r="D9" s="4">
        <v>10.3</v>
      </c>
      <c r="E9" s="4">
        <v>72.3</v>
      </c>
      <c r="F9" s="4">
        <v>8.1</v>
      </c>
      <c r="G9" s="4">
        <v>133.30000000000001</v>
      </c>
      <c r="H9" s="4">
        <v>185.5</v>
      </c>
      <c r="I9" s="4">
        <v>0.1</v>
      </c>
      <c r="J9" s="3">
        <v>16.100000000000001</v>
      </c>
      <c r="L9" s="61">
        <v>44111</v>
      </c>
      <c r="M9" s="60" t="s">
        <v>40</v>
      </c>
      <c r="N9" s="60" t="s">
        <v>124</v>
      </c>
      <c r="O9" s="62">
        <v>0.63680555555555551</v>
      </c>
      <c r="P9" s="62">
        <v>0.65625</v>
      </c>
      <c r="Q9" s="60" t="s">
        <v>125</v>
      </c>
      <c r="R9" s="60" t="s">
        <v>126</v>
      </c>
      <c r="S9" s="60" t="s">
        <v>131</v>
      </c>
      <c r="T9" s="60">
        <v>85</v>
      </c>
      <c r="U9" s="60"/>
      <c r="V9" s="60"/>
      <c r="W9" s="60">
        <v>79.5</v>
      </c>
      <c r="X9" s="60">
        <v>79</v>
      </c>
      <c r="Y9" s="60">
        <v>8.51</v>
      </c>
      <c r="Z9" s="60">
        <v>8.4700000000000006</v>
      </c>
      <c r="AA9" s="66"/>
      <c r="AB9" s="66"/>
      <c r="AC9" s="60"/>
      <c r="AD9" s="60"/>
      <c r="AE9" s="60">
        <v>0.1</v>
      </c>
      <c r="AF9" s="60">
        <v>0.1</v>
      </c>
      <c r="AG9" s="60">
        <v>115</v>
      </c>
      <c r="AH9" s="60">
        <v>115</v>
      </c>
      <c r="AI9" s="60">
        <v>151.9</v>
      </c>
      <c r="AJ9" s="60">
        <v>151.9</v>
      </c>
      <c r="AK9" s="60">
        <v>12.3</v>
      </c>
      <c r="AL9" s="60">
        <v>12.3</v>
      </c>
      <c r="AM9" s="60" t="s">
        <v>135</v>
      </c>
      <c r="AN9" s="60" t="s">
        <v>128</v>
      </c>
      <c r="AO9" s="60" t="s">
        <v>129</v>
      </c>
      <c r="AQ9" s="69">
        <v>43706</v>
      </c>
      <c r="AR9" s="71" t="s">
        <v>18</v>
      </c>
      <c r="AS9" s="71" t="s">
        <v>124</v>
      </c>
      <c r="AT9" s="72">
        <v>0.4826388888888889</v>
      </c>
      <c r="AU9" s="72">
        <v>0.54999999999999993</v>
      </c>
      <c r="AV9" s="71" t="s">
        <v>160</v>
      </c>
      <c r="AW9" s="71" t="s">
        <v>126</v>
      </c>
      <c r="AX9" s="71" t="s">
        <v>133</v>
      </c>
      <c r="AY9" s="71">
        <v>95</v>
      </c>
      <c r="AZ9" s="68"/>
      <c r="BB9" s="74">
        <v>43031</v>
      </c>
      <c r="BC9" s="75" t="s">
        <v>83</v>
      </c>
      <c r="BD9" s="75" t="s">
        <v>164</v>
      </c>
      <c r="BE9" s="76">
        <v>0.61458333333333481</v>
      </c>
      <c r="BF9" s="76">
        <v>0.62152777777777923</v>
      </c>
      <c r="BG9" s="75" t="s">
        <v>130</v>
      </c>
      <c r="BH9" s="75" t="s">
        <v>138</v>
      </c>
      <c r="BI9" s="75" t="s">
        <v>127</v>
      </c>
      <c r="BJ9" s="70">
        <v>90</v>
      </c>
      <c r="BK9" s="70">
        <v>0</v>
      </c>
      <c r="BL9" s="70">
        <v>0</v>
      </c>
      <c r="BM9" s="70">
        <v>0</v>
      </c>
      <c r="BN9" s="70">
        <v>0</v>
      </c>
      <c r="BO9" s="70">
        <v>0</v>
      </c>
      <c r="BP9" s="70">
        <v>0</v>
      </c>
      <c r="BQ9" s="70">
        <v>0</v>
      </c>
      <c r="BR9" s="70">
        <v>0</v>
      </c>
      <c r="BS9" s="70">
        <v>0</v>
      </c>
      <c r="BT9" s="70">
        <v>0</v>
      </c>
      <c r="BU9" s="70">
        <v>0</v>
      </c>
      <c r="BV9" s="70">
        <v>0</v>
      </c>
      <c r="BW9" s="70">
        <v>0</v>
      </c>
      <c r="BX9" s="70">
        <v>0</v>
      </c>
      <c r="BY9" s="70">
        <v>0</v>
      </c>
      <c r="BZ9" s="70">
        <v>0</v>
      </c>
      <c r="CA9" s="70">
        <v>0</v>
      </c>
      <c r="CB9" s="70">
        <v>0</v>
      </c>
    </row>
    <row r="10" spans="1:81" x14ac:dyDescent="0.25">
      <c r="A10" s="8">
        <v>44847</v>
      </c>
      <c r="B10" s="3" t="s">
        <v>40</v>
      </c>
      <c r="C10" s="3" t="s">
        <v>10</v>
      </c>
      <c r="D10" s="4"/>
      <c r="E10" s="4">
        <v>72.2</v>
      </c>
      <c r="F10" s="4">
        <v>8.09</v>
      </c>
      <c r="G10" s="4">
        <v>133.30000000000001</v>
      </c>
      <c r="H10" s="4">
        <v>185.6</v>
      </c>
      <c r="I10" s="4">
        <v>0.1</v>
      </c>
      <c r="J10" s="3">
        <v>16.100000000000001</v>
      </c>
      <c r="L10" s="57">
        <v>44125</v>
      </c>
      <c r="M10" s="58" t="s">
        <v>40</v>
      </c>
      <c r="N10" s="58" t="s">
        <v>136</v>
      </c>
      <c r="O10" s="63">
        <v>0.43055555555555558</v>
      </c>
      <c r="P10" s="63">
        <v>0.4548611111111111</v>
      </c>
      <c r="Q10" s="58" t="s">
        <v>125</v>
      </c>
      <c r="R10" s="58" t="s">
        <v>126</v>
      </c>
      <c r="S10" s="58" t="s">
        <v>127</v>
      </c>
      <c r="T10" s="58">
        <v>80</v>
      </c>
      <c r="U10" s="58">
        <v>50</v>
      </c>
      <c r="V10" s="58">
        <v>50</v>
      </c>
      <c r="W10" s="58">
        <v>62.8</v>
      </c>
      <c r="X10" s="58">
        <v>65</v>
      </c>
      <c r="Y10" s="58">
        <v>7.21</v>
      </c>
      <c r="Z10" s="58">
        <v>7.39</v>
      </c>
      <c r="AA10" s="65"/>
      <c r="AB10" s="65"/>
      <c r="AC10" s="58"/>
      <c r="AD10" s="58"/>
      <c r="AE10" s="58">
        <v>0.1</v>
      </c>
      <c r="AF10" s="58">
        <v>0.1</v>
      </c>
      <c r="AG10" s="58">
        <v>121.7</v>
      </c>
      <c r="AH10" s="58">
        <v>121.7</v>
      </c>
      <c r="AI10" s="58">
        <v>170.7</v>
      </c>
      <c r="AJ10" s="58">
        <v>170.7</v>
      </c>
      <c r="AK10" s="58">
        <v>10</v>
      </c>
      <c r="AL10" s="58">
        <v>10</v>
      </c>
      <c r="AM10" s="58"/>
      <c r="AN10" s="58" t="s">
        <v>128</v>
      </c>
      <c r="AO10" s="58" t="s">
        <v>129</v>
      </c>
      <c r="AQ10" s="69">
        <v>43706</v>
      </c>
      <c r="AR10" s="71" t="s">
        <v>42</v>
      </c>
      <c r="AS10" s="71" t="s">
        <v>124</v>
      </c>
      <c r="AT10" s="72">
        <v>0.63263888888888886</v>
      </c>
      <c r="AU10" s="72">
        <v>0.6645833333333333</v>
      </c>
      <c r="AV10" s="71" t="s">
        <v>160</v>
      </c>
      <c r="AW10" s="71" t="s">
        <v>126</v>
      </c>
      <c r="AX10" s="71" t="s">
        <v>127</v>
      </c>
      <c r="AY10" s="71">
        <v>95</v>
      </c>
      <c r="AZ10" s="68"/>
      <c r="BB10" s="74">
        <v>43032</v>
      </c>
      <c r="BC10" s="75" t="s">
        <v>49</v>
      </c>
      <c r="BD10" s="75" t="s">
        <v>164</v>
      </c>
      <c r="BE10" s="76">
        <v>0.46875000000000111</v>
      </c>
      <c r="BF10" s="76">
        <v>0.50972222222222341</v>
      </c>
      <c r="BG10" s="75" t="s">
        <v>130</v>
      </c>
      <c r="BH10" s="75" t="s">
        <v>138</v>
      </c>
      <c r="BI10" s="75" t="s">
        <v>127</v>
      </c>
      <c r="BJ10" s="70">
        <v>80</v>
      </c>
      <c r="BK10" s="70">
        <v>0</v>
      </c>
      <c r="BL10" s="70">
        <v>0</v>
      </c>
      <c r="BM10" s="70">
        <v>0</v>
      </c>
      <c r="BN10" s="70">
        <v>0</v>
      </c>
      <c r="BO10" s="70">
        <v>0</v>
      </c>
      <c r="BP10" s="70">
        <v>0</v>
      </c>
      <c r="BQ10" s="70">
        <v>0</v>
      </c>
      <c r="BR10" s="70">
        <v>0</v>
      </c>
      <c r="BS10" s="70">
        <v>0</v>
      </c>
      <c r="BT10" s="70">
        <v>0</v>
      </c>
      <c r="BU10" s="70">
        <v>0</v>
      </c>
      <c r="BV10" s="70">
        <v>0</v>
      </c>
      <c r="BW10" s="70">
        <v>0</v>
      </c>
      <c r="BX10" s="70">
        <v>0</v>
      </c>
      <c r="BY10" s="70">
        <v>0</v>
      </c>
      <c r="BZ10" s="70">
        <v>0</v>
      </c>
      <c r="CA10" s="70">
        <v>0</v>
      </c>
      <c r="CB10" s="70">
        <v>0</v>
      </c>
    </row>
    <row r="11" spans="1:81" x14ac:dyDescent="0.25">
      <c r="A11" s="8">
        <v>44853</v>
      </c>
      <c r="B11" s="3" t="s">
        <v>40</v>
      </c>
      <c r="C11" s="3" t="s">
        <v>13</v>
      </c>
      <c r="D11" s="4">
        <v>10.4</v>
      </c>
      <c r="E11" s="4">
        <v>71.3</v>
      </c>
      <c r="F11" s="4">
        <v>7.9</v>
      </c>
      <c r="G11" s="4">
        <v>132.30000000000001</v>
      </c>
      <c r="H11" s="4">
        <v>183.5</v>
      </c>
      <c r="I11" s="4">
        <v>0.1</v>
      </c>
      <c r="J11" s="3">
        <v>8.8000000000000007</v>
      </c>
      <c r="L11" s="61">
        <v>44125</v>
      </c>
      <c r="M11" s="60" t="s">
        <v>83</v>
      </c>
      <c r="N11" s="60" t="s">
        <v>137</v>
      </c>
      <c r="O11" s="64">
        <v>0.39444444444444443</v>
      </c>
      <c r="P11" s="64">
        <v>0.40208333333333335</v>
      </c>
      <c r="Q11" s="60" t="s">
        <v>125</v>
      </c>
      <c r="R11" s="60" t="s">
        <v>126</v>
      </c>
      <c r="S11" s="60" t="s">
        <v>133</v>
      </c>
      <c r="T11" s="60">
        <v>90</v>
      </c>
      <c r="U11" s="60">
        <v>50</v>
      </c>
      <c r="V11" s="60">
        <v>50</v>
      </c>
      <c r="W11" s="60">
        <v>100.3</v>
      </c>
      <c r="X11" s="60">
        <v>98.6</v>
      </c>
      <c r="Y11" s="60">
        <v>11.36</v>
      </c>
      <c r="Z11" s="60">
        <v>11.22</v>
      </c>
      <c r="AA11" s="66"/>
      <c r="AB11" s="66"/>
      <c r="AC11" s="60"/>
      <c r="AD11" s="60"/>
      <c r="AE11" s="60">
        <v>0.1</v>
      </c>
      <c r="AF11" s="60">
        <v>0.1</v>
      </c>
      <c r="AG11" s="60">
        <v>154.19999999999999</v>
      </c>
      <c r="AH11" s="60">
        <v>155</v>
      </c>
      <c r="AI11" s="60">
        <v>218.3</v>
      </c>
      <c r="AJ11" s="60">
        <v>219</v>
      </c>
      <c r="AK11" s="60">
        <v>9.6999999999999993</v>
      </c>
      <c r="AL11" s="60">
        <v>9.6999999999999993</v>
      </c>
      <c r="AM11" s="60"/>
      <c r="AN11" s="60" t="s">
        <v>128</v>
      </c>
      <c r="AO11" s="60" t="s">
        <v>129</v>
      </c>
      <c r="AQ11" s="69">
        <v>43727</v>
      </c>
      <c r="AR11" s="71" t="s">
        <v>49</v>
      </c>
      <c r="AS11" s="71" t="s">
        <v>124</v>
      </c>
      <c r="AT11" s="72">
        <v>0.51041666666666663</v>
      </c>
      <c r="AU11" s="72">
        <v>0.54027777777777775</v>
      </c>
      <c r="AV11" s="71" t="s">
        <v>160</v>
      </c>
      <c r="AW11" s="71" t="s">
        <v>126</v>
      </c>
      <c r="AX11" s="71" t="s">
        <v>133</v>
      </c>
      <c r="AY11" s="71">
        <v>95</v>
      </c>
      <c r="AZ11" s="68"/>
      <c r="BB11" s="74">
        <v>43032</v>
      </c>
      <c r="BC11" s="75" t="s">
        <v>162</v>
      </c>
      <c r="BD11" s="75" t="s">
        <v>164</v>
      </c>
      <c r="BE11" s="76">
        <v>0.52361111111111236</v>
      </c>
      <c r="BF11" s="76">
        <v>0.56597222222222354</v>
      </c>
      <c r="BG11" s="75" t="s">
        <v>130</v>
      </c>
      <c r="BH11" s="75" t="s">
        <v>126</v>
      </c>
      <c r="BI11" s="75" t="s">
        <v>127</v>
      </c>
      <c r="BJ11" s="70">
        <v>85</v>
      </c>
      <c r="BK11" s="70">
        <v>0</v>
      </c>
      <c r="BL11" s="70">
        <v>0</v>
      </c>
      <c r="BM11" s="70">
        <v>0</v>
      </c>
      <c r="BN11" s="70">
        <v>0</v>
      </c>
      <c r="BO11" s="70">
        <v>0</v>
      </c>
      <c r="BP11" s="70">
        <v>0</v>
      </c>
      <c r="BQ11" s="70">
        <v>0</v>
      </c>
      <c r="BR11" s="70">
        <v>0</v>
      </c>
      <c r="BS11" s="70">
        <v>0</v>
      </c>
      <c r="BT11" s="70">
        <v>0</v>
      </c>
      <c r="BU11" s="70">
        <v>0</v>
      </c>
      <c r="BV11" s="70">
        <v>0</v>
      </c>
      <c r="BW11" s="70">
        <v>0</v>
      </c>
      <c r="BX11" s="70">
        <v>0</v>
      </c>
      <c r="BY11" s="70">
        <v>0</v>
      </c>
      <c r="BZ11" s="70">
        <v>0</v>
      </c>
      <c r="CA11" s="70">
        <v>9</v>
      </c>
      <c r="CB11" s="70">
        <v>0</v>
      </c>
    </row>
    <row r="12" spans="1:81" x14ac:dyDescent="0.25">
      <c r="A12" s="8">
        <v>44853</v>
      </c>
      <c r="B12" s="3" t="s">
        <v>40</v>
      </c>
      <c r="C12" s="3" t="s">
        <v>13</v>
      </c>
      <c r="D12" s="4">
        <v>10.4</v>
      </c>
      <c r="E12" s="4">
        <v>71</v>
      </c>
      <c r="F12" s="4">
        <v>7.93</v>
      </c>
      <c r="G12" s="4">
        <v>132.30000000000001</v>
      </c>
      <c r="H12" s="4">
        <v>183.7</v>
      </c>
      <c r="I12" s="4">
        <v>0.1</v>
      </c>
      <c r="J12" s="3">
        <v>8.8000000000000007</v>
      </c>
      <c r="L12" s="57">
        <v>44125</v>
      </c>
      <c r="M12" s="58" t="s">
        <v>42</v>
      </c>
      <c r="N12" s="58" t="s">
        <v>136</v>
      </c>
      <c r="O12" s="63">
        <v>0.48541666666666666</v>
      </c>
      <c r="P12" s="63">
        <v>0.52777777777777779</v>
      </c>
      <c r="Q12" s="58" t="s">
        <v>125</v>
      </c>
      <c r="R12" s="58" t="s">
        <v>138</v>
      </c>
      <c r="S12" s="58" t="s">
        <v>127</v>
      </c>
      <c r="T12" s="58">
        <v>60</v>
      </c>
      <c r="U12" s="58">
        <v>48</v>
      </c>
      <c r="V12" s="58">
        <v>48</v>
      </c>
      <c r="W12" s="58">
        <v>87.4</v>
      </c>
      <c r="X12" s="58">
        <v>87.7</v>
      </c>
      <c r="Y12" s="58">
        <v>9.9700000000000006</v>
      </c>
      <c r="Z12" s="58">
        <v>9.9499999999999993</v>
      </c>
      <c r="AA12" s="65"/>
      <c r="AB12" s="65"/>
      <c r="AC12" s="58"/>
      <c r="AD12" s="58"/>
      <c r="AE12" s="58">
        <v>0.1</v>
      </c>
      <c r="AF12" s="58">
        <v>0.1</v>
      </c>
      <c r="AG12" s="58">
        <v>94.6</v>
      </c>
      <c r="AH12" s="58">
        <v>46.6</v>
      </c>
      <c r="AI12" s="58">
        <v>133.5</v>
      </c>
      <c r="AJ12" s="58">
        <v>133.4</v>
      </c>
      <c r="AK12" s="58">
        <v>9.8000000000000007</v>
      </c>
      <c r="AL12" s="58">
        <v>9.8000000000000007</v>
      </c>
      <c r="AM12" s="58"/>
      <c r="AN12" s="58" t="s">
        <v>128</v>
      </c>
      <c r="AO12" s="58" t="s">
        <v>129</v>
      </c>
      <c r="AQ12" s="69">
        <v>43727</v>
      </c>
      <c r="AR12" s="71" t="s">
        <v>162</v>
      </c>
      <c r="AS12" s="71" t="s">
        <v>124</v>
      </c>
      <c r="AT12" s="72">
        <v>0.54305555555555551</v>
      </c>
      <c r="AU12" s="72">
        <v>0.58124999999999993</v>
      </c>
      <c r="AV12" s="71" t="s">
        <v>160</v>
      </c>
      <c r="AW12" s="71" t="s">
        <v>126</v>
      </c>
      <c r="AX12" s="71" t="s">
        <v>133</v>
      </c>
      <c r="AY12" s="71">
        <v>95</v>
      </c>
      <c r="AZ12" s="68"/>
      <c r="BB12" s="74">
        <v>43032</v>
      </c>
      <c r="BC12" s="75" t="s">
        <v>40</v>
      </c>
      <c r="BD12" s="75" t="s">
        <v>164</v>
      </c>
      <c r="BE12" s="76">
        <v>0.61458333333333481</v>
      </c>
      <c r="BF12" s="76">
        <v>0.63194444444444586</v>
      </c>
      <c r="BG12" s="75" t="s">
        <v>130</v>
      </c>
      <c r="BH12" s="75" t="s">
        <v>126</v>
      </c>
      <c r="BI12" s="75" t="s">
        <v>127</v>
      </c>
      <c r="BJ12" s="70">
        <v>85</v>
      </c>
      <c r="BK12" s="70">
        <v>0</v>
      </c>
      <c r="BL12" s="70">
        <v>0</v>
      </c>
      <c r="BM12" s="70">
        <v>0</v>
      </c>
      <c r="BN12" s="70">
        <v>0</v>
      </c>
      <c r="BO12" s="70">
        <v>0</v>
      </c>
      <c r="BP12" s="70">
        <v>0</v>
      </c>
      <c r="BQ12" s="70">
        <v>0</v>
      </c>
      <c r="BR12" s="70">
        <v>0</v>
      </c>
      <c r="BS12" s="70">
        <v>0</v>
      </c>
      <c r="BT12" s="70">
        <v>0</v>
      </c>
      <c r="BU12" s="70">
        <v>0</v>
      </c>
      <c r="BV12" s="70">
        <v>0</v>
      </c>
      <c r="BW12" s="70">
        <v>0</v>
      </c>
      <c r="BX12" s="70">
        <v>0</v>
      </c>
      <c r="BY12" s="70">
        <v>0</v>
      </c>
      <c r="BZ12" s="70">
        <v>0</v>
      </c>
      <c r="CA12" s="70">
        <v>10</v>
      </c>
      <c r="CB12" s="70">
        <v>0</v>
      </c>
    </row>
    <row r="13" spans="1:81" x14ac:dyDescent="0.25">
      <c r="A13" s="9">
        <v>44859</v>
      </c>
      <c r="B13" s="3" t="s">
        <v>40</v>
      </c>
      <c r="C13" s="3" t="s">
        <v>14</v>
      </c>
      <c r="D13" s="4">
        <v>9.9</v>
      </c>
      <c r="E13" s="4">
        <v>70.5</v>
      </c>
      <c r="F13" s="4">
        <v>7.96</v>
      </c>
      <c r="G13" s="4">
        <v>131.1</v>
      </c>
      <c r="H13" s="4">
        <v>184.6</v>
      </c>
      <c r="I13" s="4">
        <v>0.1</v>
      </c>
      <c r="J13" s="3">
        <v>14.4</v>
      </c>
      <c r="L13" s="61">
        <v>44126</v>
      </c>
      <c r="M13" s="60" t="s">
        <v>41</v>
      </c>
      <c r="N13" s="60" t="s">
        <v>137</v>
      </c>
      <c r="O13" s="64">
        <v>0.56458333333333333</v>
      </c>
      <c r="P13" s="64">
        <v>0.57430555555555551</v>
      </c>
      <c r="Q13" s="60" t="s">
        <v>125</v>
      </c>
      <c r="R13" s="60" t="s">
        <v>126</v>
      </c>
      <c r="S13" s="60" t="s">
        <v>133</v>
      </c>
      <c r="T13" s="60">
        <v>90</v>
      </c>
      <c r="U13" s="60">
        <v>53</v>
      </c>
      <c r="V13" s="60">
        <v>53</v>
      </c>
      <c r="W13" s="60">
        <v>93.9</v>
      </c>
      <c r="X13" s="60">
        <v>91.9</v>
      </c>
      <c r="Y13" s="60">
        <v>10.73</v>
      </c>
      <c r="Z13" s="60">
        <v>10.75</v>
      </c>
      <c r="AA13" s="66"/>
      <c r="AB13" s="66"/>
      <c r="AC13" s="60"/>
      <c r="AD13" s="60"/>
      <c r="AE13" s="60">
        <v>0.1</v>
      </c>
      <c r="AF13" s="60">
        <v>0.1</v>
      </c>
      <c r="AG13" s="60">
        <v>110.9</v>
      </c>
      <c r="AH13" s="60">
        <v>110.9</v>
      </c>
      <c r="AI13" s="60">
        <v>161.1</v>
      </c>
      <c r="AJ13" s="60">
        <v>161.1</v>
      </c>
      <c r="AK13" s="60">
        <v>8.6999999999999993</v>
      </c>
      <c r="AL13" s="60">
        <v>8.6999999999999993</v>
      </c>
      <c r="AM13" s="60"/>
      <c r="AN13" s="60" t="s">
        <v>128</v>
      </c>
      <c r="AO13" s="60" t="s">
        <v>129</v>
      </c>
      <c r="AQ13" s="69">
        <v>43727</v>
      </c>
      <c r="AR13" s="71" t="s">
        <v>30</v>
      </c>
      <c r="AS13" s="71" t="s">
        <v>124</v>
      </c>
      <c r="AT13" s="72">
        <v>0.63888888888888895</v>
      </c>
      <c r="AU13" s="72">
        <v>0.65277777777777779</v>
      </c>
      <c r="AV13" s="71" t="s">
        <v>160</v>
      </c>
      <c r="AW13" s="71" t="s">
        <v>126</v>
      </c>
      <c r="AX13" s="71" t="s">
        <v>127</v>
      </c>
      <c r="AY13" s="71">
        <v>95</v>
      </c>
      <c r="AZ13" s="68"/>
      <c r="BB13" s="74">
        <v>43033</v>
      </c>
      <c r="BC13" s="75" t="s">
        <v>34</v>
      </c>
      <c r="BD13" s="75" t="s">
        <v>164</v>
      </c>
      <c r="BE13" s="76">
        <v>0.46527777777777884</v>
      </c>
      <c r="BF13" s="76">
        <v>0.47222222222222332</v>
      </c>
      <c r="BG13" s="75" t="s">
        <v>160</v>
      </c>
      <c r="BH13" s="75" t="s">
        <v>126</v>
      </c>
      <c r="BI13" s="75" t="s">
        <v>133</v>
      </c>
      <c r="BJ13" s="70">
        <v>100</v>
      </c>
      <c r="BK13" s="70">
        <v>0</v>
      </c>
      <c r="BL13" s="70">
        <v>0</v>
      </c>
      <c r="BM13" s="70">
        <v>0</v>
      </c>
      <c r="BN13" s="70">
        <v>0</v>
      </c>
      <c r="BO13" s="70">
        <v>0</v>
      </c>
      <c r="BP13" s="70">
        <v>0</v>
      </c>
      <c r="BQ13" s="70">
        <v>0</v>
      </c>
      <c r="BR13" s="70">
        <v>0</v>
      </c>
      <c r="BS13" s="70">
        <v>0</v>
      </c>
      <c r="BT13" s="70">
        <v>0</v>
      </c>
      <c r="BU13" s="70">
        <v>0</v>
      </c>
      <c r="BV13" s="70">
        <v>0</v>
      </c>
      <c r="BW13" s="70">
        <v>0</v>
      </c>
      <c r="BX13" s="70">
        <v>0</v>
      </c>
      <c r="BY13" s="70">
        <v>0</v>
      </c>
      <c r="BZ13" s="70">
        <v>0</v>
      </c>
      <c r="CA13" s="70">
        <v>0</v>
      </c>
      <c r="CB13" s="70">
        <v>0</v>
      </c>
    </row>
    <row r="14" spans="1:81" x14ac:dyDescent="0.25">
      <c r="A14" s="9">
        <v>44859</v>
      </c>
      <c r="B14" s="3" t="s">
        <v>40</v>
      </c>
      <c r="C14" s="3" t="s">
        <v>14</v>
      </c>
      <c r="D14" s="4">
        <v>9.8000000000000007</v>
      </c>
      <c r="E14" s="3">
        <v>69.900000000000006</v>
      </c>
      <c r="F14" s="4">
        <v>7.92</v>
      </c>
      <c r="G14" s="4">
        <v>131.19999999999999</v>
      </c>
      <c r="H14" s="4">
        <v>184.6</v>
      </c>
      <c r="I14" s="4">
        <v>0.1</v>
      </c>
      <c r="J14" s="3">
        <v>14.4</v>
      </c>
      <c r="L14" s="57">
        <v>44126</v>
      </c>
      <c r="M14" s="58" t="s">
        <v>49</v>
      </c>
      <c r="N14" s="58" t="s">
        <v>136</v>
      </c>
      <c r="O14" s="63">
        <v>0.43611111111111112</v>
      </c>
      <c r="P14" s="63">
        <v>0.4604166666666667</v>
      </c>
      <c r="Q14" s="58" t="s">
        <v>125</v>
      </c>
      <c r="R14" s="58" t="s">
        <v>126</v>
      </c>
      <c r="S14" s="58" t="s">
        <v>133</v>
      </c>
      <c r="T14" s="58">
        <v>75</v>
      </c>
      <c r="U14" s="58"/>
      <c r="V14" s="58"/>
      <c r="W14" s="58">
        <v>96.7</v>
      </c>
      <c r="X14" s="58">
        <v>96.2</v>
      </c>
      <c r="Y14" s="58">
        <v>11.67</v>
      </c>
      <c r="Z14" s="58">
        <v>11.64</v>
      </c>
      <c r="AA14" s="65"/>
      <c r="AB14" s="65"/>
      <c r="AC14" s="58"/>
      <c r="AD14" s="58"/>
      <c r="AE14" s="58">
        <v>0.1</v>
      </c>
      <c r="AF14" s="58">
        <v>0.1</v>
      </c>
      <c r="AG14" s="58">
        <v>81.7</v>
      </c>
      <c r="AH14" s="58">
        <v>81.7</v>
      </c>
      <c r="AI14" s="58">
        <v>124.4</v>
      </c>
      <c r="AJ14" s="58">
        <v>124.4</v>
      </c>
      <c r="AK14" s="58">
        <v>7</v>
      </c>
      <c r="AL14" s="58">
        <v>7</v>
      </c>
      <c r="AM14" s="58"/>
      <c r="AN14" s="58" t="s">
        <v>128</v>
      </c>
      <c r="AO14" s="58" t="s">
        <v>129</v>
      </c>
      <c r="AQ14" s="69">
        <v>43731</v>
      </c>
      <c r="AR14" s="71" t="s">
        <v>42</v>
      </c>
      <c r="AS14" s="71" t="s">
        <v>124</v>
      </c>
      <c r="AT14" s="72">
        <v>0.4375</v>
      </c>
      <c r="AU14" s="72">
        <v>0.5</v>
      </c>
      <c r="AV14" s="71" t="s">
        <v>160</v>
      </c>
      <c r="AW14" s="71" t="s">
        <v>126</v>
      </c>
      <c r="AX14" s="71" t="s">
        <v>127</v>
      </c>
      <c r="AY14" s="71">
        <v>95</v>
      </c>
      <c r="AZ14" s="68"/>
      <c r="BB14" s="74">
        <v>43033</v>
      </c>
      <c r="BC14" s="75" t="s">
        <v>18</v>
      </c>
      <c r="BD14" s="75" t="s">
        <v>164</v>
      </c>
      <c r="BE14" s="76">
        <v>0.5145833333333345</v>
      </c>
      <c r="BF14" s="76">
        <v>0.5881944444444458</v>
      </c>
      <c r="BG14" s="75" t="s">
        <v>160</v>
      </c>
      <c r="BH14" s="75" t="s">
        <v>138</v>
      </c>
      <c r="BI14" s="75" t="s">
        <v>127</v>
      </c>
      <c r="BJ14" s="70">
        <v>0</v>
      </c>
      <c r="BK14" s="70">
        <v>0</v>
      </c>
      <c r="BL14" s="70">
        <v>0</v>
      </c>
      <c r="BM14" s="70">
        <v>0</v>
      </c>
      <c r="BN14" s="70">
        <v>0</v>
      </c>
      <c r="BO14" s="70">
        <v>0</v>
      </c>
      <c r="BP14" s="70">
        <v>0</v>
      </c>
      <c r="BQ14" s="70">
        <v>0</v>
      </c>
      <c r="BR14" s="70">
        <v>0</v>
      </c>
      <c r="BS14" s="70">
        <v>0</v>
      </c>
      <c r="BT14" s="70">
        <v>0</v>
      </c>
      <c r="BU14" s="70">
        <v>0</v>
      </c>
      <c r="BV14" s="70">
        <v>0</v>
      </c>
      <c r="BW14" s="70">
        <v>0</v>
      </c>
      <c r="BX14" s="70">
        <v>0</v>
      </c>
      <c r="BY14" s="70">
        <v>0</v>
      </c>
      <c r="BZ14" s="70">
        <v>0</v>
      </c>
      <c r="CA14" s="70">
        <v>0</v>
      </c>
      <c r="CB14" s="70">
        <v>0</v>
      </c>
    </row>
    <row r="15" spans="1:81" x14ac:dyDescent="0.25">
      <c r="A15" s="8">
        <v>44875</v>
      </c>
      <c r="B15" s="3" t="s">
        <v>40</v>
      </c>
      <c r="C15" s="3" t="s">
        <v>15</v>
      </c>
      <c r="D15" s="4">
        <v>7.3</v>
      </c>
      <c r="E15" s="4">
        <v>74</v>
      </c>
      <c r="F15" s="4">
        <v>8.8800000000000008</v>
      </c>
      <c r="G15" s="4">
        <v>115.6</v>
      </c>
      <c r="H15" s="4">
        <v>175</v>
      </c>
      <c r="I15" s="4">
        <v>0.1</v>
      </c>
      <c r="J15" s="3">
        <v>8.3000000000000007</v>
      </c>
      <c r="L15" s="61">
        <v>44126</v>
      </c>
      <c r="M15" s="60" t="s">
        <v>63</v>
      </c>
      <c r="N15" s="60" t="s">
        <v>136</v>
      </c>
      <c r="O15" s="64">
        <v>0.47013888888888888</v>
      </c>
      <c r="P15" s="64">
        <v>0.50138888888888888</v>
      </c>
      <c r="Q15" s="60" t="s">
        <v>125</v>
      </c>
      <c r="R15" s="60" t="s">
        <v>126</v>
      </c>
      <c r="S15" s="60" t="s">
        <v>133</v>
      </c>
      <c r="T15" s="60">
        <v>80</v>
      </c>
      <c r="U15" s="60"/>
      <c r="V15" s="60"/>
      <c r="W15" s="60">
        <v>99.9</v>
      </c>
      <c r="X15" s="60">
        <v>100.6</v>
      </c>
      <c r="Y15" s="60">
        <v>12</v>
      </c>
      <c r="Z15" s="60">
        <v>12.06</v>
      </c>
      <c r="AA15" s="66"/>
      <c r="AB15" s="66"/>
      <c r="AC15" s="60"/>
      <c r="AD15" s="60"/>
      <c r="AE15" s="60">
        <v>0.1</v>
      </c>
      <c r="AF15" s="60">
        <v>0.1</v>
      </c>
      <c r="AG15" s="60">
        <v>82.5</v>
      </c>
      <c r="AH15" s="60">
        <v>82.5</v>
      </c>
      <c r="AI15" s="60">
        <v>124</v>
      </c>
      <c r="AJ15" s="60">
        <v>124</v>
      </c>
      <c r="AK15" s="60">
        <v>7.5</v>
      </c>
      <c r="AL15" s="60">
        <v>7.5</v>
      </c>
      <c r="AM15" s="60"/>
      <c r="AN15" s="60" t="s">
        <v>128</v>
      </c>
      <c r="AO15" s="60" t="s">
        <v>129</v>
      </c>
      <c r="AQ15" s="69">
        <v>43731</v>
      </c>
      <c r="AR15" s="71" t="s">
        <v>41</v>
      </c>
      <c r="AS15" s="71" t="s">
        <v>124</v>
      </c>
      <c r="AT15" s="72">
        <v>0.65625</v>
      </c>
      <c r="AU15" s="72">
        <v>0.66666666666666663</v>
      </c>
      <c r="AV15" s="71" t="s">
        <v>160</v>
      </c>
      <c r="AW15" s="71" t="s">
        <v>126</v>
      </c>
      <c r="AX15" s="71" t="s">
        <v>127</v>
      </c>
      <c r="AY15" s="71">
        <v>95</v>
      </c>
      <c r="AZ15" s="68"/>
      <c r="BB15" s="74">
        <v>43040</v>
      </c>
      <c r="BC15" s="75" t="s">
        <v>41</v>
      </c>
      <c r="BD15" s="75" t="s">
        <v>164</v>
      </c>
      <c r="BE15" s="76">
        <v>0.46736111111111217</v>
      </c>
      <c r="BF15" s="76">
        <v>0.48402777777777889</v>
      </c>
      <c r="BG15" s="75" t="s">
        <v>130</v>
      </c>
      <c r="BH15" s="75" t="s">
        <v>138</v>
      </c>
      <c r="BI15" s="75" t="s">
        <v>163</v>
      </c>
      <c r="BJ15" s="70">
        <v>70</v>
      </c>
      <c r="BK15" s="70">
        <v>0</v>
      </c>
      <c r="BL15" s="70">
        <v>0</v>
      </c>
      <c r="BM15" s="70">
        <v>88.3</v>
      </c>
      <c r="BN15" s="70">
        <v>86.6</v>
      </c>
      <c r="BO15" s="70">
        <v>10.7</v>
      </c>
      <c r="BP15" s="70">
        <v>10.58</v>
      </c>
      <c r="BQ15" s="70">
        <v>0</v>
      </c>
      <c r="BR15" s="70">
        <v>0</v>
      </c>
      <c r="BS15" s="70">
        <v>0</v>
      </c>
      <c r="BT15" s="70">
        <v>0</v>
      </c>
      <c r="BU15" s="70">
        <v>0.1</v>
      </c>
      <c r="BV15" s="70">
        <v>0.1</v>
      </c>
      <c r="BW15" s="70">
        <v>110.1</v>
      </c>
      <c r="BX15" s="70">
        <v>109</v>
      </c>
      <c r="BY15" s="70">
        <v>71</v>
      </c>
      <c r="BZ15" s="70">
        <v>69.5</v>
      </c>
      <c r="CA15" s="70">
        <v>6.5</v>
      </c>
      <c r="CB15" s="70">
        <v>6.5</v>
      </c>
    </row>
    <row r="16" spans="1:81" x14ac:dyDescent="0.25">
      <c r="A16" s="8">
        <v>44875</v>
      </c>
      <c r="B16" s="3" t="s">
        <v>40</v>
      </c>
      <c r="C16" s="3" t="s">
        <v>15</v>
      </c>
      <c r="D16" s="4">
        <v>7.2</v>
      </c>
      <c r="E16" s="4">
        <v>73.2</v>
      </c>
      <c r="F16" s="4">
        <v>8.85</v>
      </c>
      <c r="G16" s="4">
        <v>175.2</v>
      </c>
      <c r="H16" s="4">
        <v>175.2</v>
      </c>
      <c r="I16" s="4">
        <v>0.1</v>
      </c>
      <c r="J16" s="3">
        <v>8.3000000000000007</v>
      </c>
      <c r="L16" s="57">
        <v>44118</v>
      </c>
      <c r="M16" s="58" t="s">
        <v>41</v>
      </c>
      <c r="N16" s="58" t="s">
        <v>136</v>
      </c>
      <c r="O16" s="63">
        <v>0.42708333333333331</v>
      </c>
      <c r="P16" s="63">
        <v>0.44305555555555554</v>
      </c>
      <c r="Q16" s="58" t="s">
        <v>130</v>
      </c>
      <c r="R16" s="58" t="s">
        <v>138</v>
      </c>
      <c r="S16" s="58" t="s">
        <v>133</v>
      </c>
      <c r="T16" s="58">
        <v>60</v>
      </c>
      <c r="U16" s="58"/>
      <c r="V16" s="58"/>
      <c r="W16" s="58">
        <v>105.6</v>
      </c>
      <c r="X16" s="58">
        <v>105.5</v>
      </c>
      <c r="Y16" s="58">
        <v>11.7</v>
      </c>
      <c r="Z16" s="58">
        <v>11.71</v>
      </c>
      <c r="AA16" s="65"/>
      <c r="AB16" s="65"/>
      <c r="AC16" s="58"/>
      <c r="AD16" s="58"/>
      <c r="AE16" s="58">
        <v>0.1</v>
      </c>
      <c r="AF16" s="58">
        <v>0.1</v>
      </c>
      <c r="AG16" s="58">
        <v>106</v>
      </c>
      <c r="AH16" s="58">
        <v>106.2</v>
      </c>
      <c r="AI16" s="58">
        <v>146.1</v>
      </c>
      <c r="AJ16" s="58">
        <v>145.69999999999999</v>
      </c>
      <c r="AK16" s="58">
        <v>10.7</v>
      </c>
      <c r="AL16" s="58">
        <v>10.7</v>
      </c>
      <c r="AM16" s="58" t="s">
        <v>139</v>
      </c>
      <c r="AN16" s="58" t="s">
        <v>128</v>
      </c>
      <c r="AO16" s="58" t="s">
        <v>129</v>
      </c>
      <c r="AQ16" s="69">
        <v>43731</v>
      </c>
      <c r="AR16" s="71" t="s">
        <v>83</v>
      </c>
      <c r="AS16" s="71" t="s">
        <v>124</v>
      </c>
      <c r="AT16" s="72">
        <v>0.69374999999999998</v>
      </c>
      <c r="AU16" s="72">
        <v>0.69791666666666663</v>
      </c>
      <c r="AV16" s="71" t="s">
        <v>160</v>
      </c>
      <c r="AW16" s="71" t="s">
        <v>126</v>
      </c>
      <c r="AX16" s="71" t="s">
        <v>133</v>
      </c>
      <c r="AY16" s="71">
        <v>100</v>
      </c>
      <c r="AZ16" s="68"/>
      <c r="BB16" s="74">
        <v>43040</v>
      </c>
      <c r="BC16" s="75" t="s">
        <v>30</v>
      </c>
      <c r="BD16" s="75" t="s">
        <v>164</v>
      </c>
      <c r="BE16" s="76">
        <v>0.50694444444444564</v>
      </c>
      <c r="BF16" s="76">
        <v>0.51736111111111227</v>
      </c>
      <c r="BG16" s="75" t="s">
        <v>130</v>
      </c>
      <c r="BH16" s="75" t="s">
        <v>126</v>
      </c>
      <c r="BI16" s="75" t="s">
        <v>163</v>
      </c>
      <c r="BJ16" s="70">
        <v>60</v>
      </c>
      <c r="BK16" s="70">
        <v>0</v>
      </c>
      <c r="BL16" s="70">
        <v>0</v>
      </c>
      <c r="BM16" s="70">
        <v>33.299999999999997</v>
      </c>
      <c r="BN16" s="70">
        <v>35.4</v>
      </c>
      <c r="BO16" s="70">
        <v>4.63</v>
      </c>
      <c r="BP16" s="70">
        <v>4.21</v>
      </c>
      <c r="BQ16" s="70">
        <v>0</v>
      </c>
      <c r="BR16" s="70">
        <v>0</v>
      </c>
      <c r="BS16" s="70">
        <v>0</v>
      </c>
      <c r="BT16" s="70">
        <v>0</v>
      </c>
      <c r="BU16" s="70">
        <v>0.1</v>
      </c>
      <c r="BV16" s="70">
        <v>0.1</v>
      </c>
      <c r="BW16" s="70">
        <v>208.1</v>
      </c>
      <c r="BX16" s="70">
        <v>207.3</v>
      </c>
      <c r="BY16" s="70">
        <v>137.19999999999999</v>
      </c>
      <c r="BZ16" s="70">
        <v>136.19999999999999</v>
      </c>
      <c r="CA16" s="70">
        <v>7.3</v>
      </c>
      <c r="CB16" s="70">
        <v>7.1</v>
      </c>
    </row>
    <row r="17" spans="1:81" x14ac:dyDescent="0.25">
      <c r="A17" s="8">
        <v>44882</v>
      </c>
      <c r="B17" s="3" t="s">
        <v>40</v>
      </c>
      <c r="C17" s="3" t="s">
        <v>10</v>
      </c>
      <c r="D17" s="4">
        <v>7.6</v>
      </c>
      <c r="E17" s="4">
        <v>71.599999999999994</v>
      </c>
      <c r="F17" s="4">
        <v>8.56</v>
      </c>
      <c r="G17" s="4">
        <v>116.5</v>
      </c>
      <c r="H17" s="4">
        <v>174.8</v>
      </c>
      <c r="I17" s="4">
        <v>0.1</v>
      </c>
      <c r="J17" s="3">
        <v>7.2</v>
      </c>
      <c r="L17" s="61">
        <v>44118</v>
      </c>
      <c r="M17" s="60" t="s">
        <v>49</v>
      </c>
      <c r="N17" s="60" t="s">
        <v>136</v>
      </c>
      <c r="O17" s="64">
        <v>0.55347222222222225</v>
      </c>
      <c r="P17" s="64">
        <v>0.58194444444444449</v>
      </c>
      <c r="Q17" s="60" t="s">
        <v>130</v>
      </c>
      <c r="R17" s="60" t="s">
        <v>126</v>
      </c>
      <c r="S17" s="60" t="s">
        <v>132</v>
      </c>
      <c r="T17" s="60">
        <v>40</v>
      </c>
      <c r="U17" s="60"/>
      <c r="V17" s="60"/>
      <c r="W17" s="60">
        <v>97.9</v>
      </c>
      <c r="X17" s="60">
        <v>98.1</v>
      </c>
      <c r="Y17" s="60">
        <v>10.98</v>
      </c>
      <c r="Z17" s="60">
        <v>10.99</v>
      </c>
      <c r="AA17" s="66"/>
      <c r="AB17" s="66"/>
      <c r="AC17" s="60"/>
      <c r="AD17" s="60"/>
      <c r="AE17" s="60">
        <v>0.1</v>
      </c>
      <c r="AF17" s="60">
        <v>0.1</v>
      </c>
      <c r="AG17" s="60">
        <v>87.6</v>
      </c>
      <c r="AH17" s="60">
        <v>87.6</v>
      </c>
      <c r="AI17" s="60">
        <v>122.1</v>
      </c>
      <c r="AJ17" s="60">
        <v>121.9</v>
      </c>
      <c r="AK17" s="60">
        <v>10.3</v>
      </c>
      <c r="AL17" s="60">
        <v>10.3</v>
      </c>
      <c r="AM17" s="60"/>
      <c r="AN17" s="60" t="s">
        <v>128</v>
      </c>
      <c r="AO17" s="60" t="s">
        <v>129</v>
      </c>
      <c r="AQ17" s="69">
        <v>43733</v>
      </c>
      <c r="AR17" s="71" t="s">
        <v>34</v>
      </c>
      <c r="AS17" s="71" t="s">
        <v>124</v>
      </c>
      <c r="AT17" s="72">
        <v>0.54027777777777775</v>
      </c>
      <c r="AU17" s="72">
        <v>0.54583333333333328</v>
      </c>
      <c r="AV17" s="71" t="s">
        <v>160</v>
      </c>
      <c r="AW17" s="71" t="s">
        <v>126</v>
      </c>
      <c r="AX17" s="71" t="s">
        <v>133</v>
      </c>
      <c r="AY17" s="71">
        <v>100</v>
      </c>
      <c r="AZ17" s="68"/>
      <c r="BB17" s="74">
        <v>43040</v>
      </c>
      <c r="BC17" s="75" t="s">
        <v>42</v>
      </c>
      <c r="BD17" s="75" t="s">
        <v>164</v>
      </c>
      <c r="BE17" s="76">
        <v>0.56041666666666801</v>
      </c>
      <c r="BF17" s="76">
        <v>0.59722222222222365</v>
      </c>
      <c r="BG17" s="75" t="s">
        <v>160</v>
      </c>
      <c r="BH17" s="75" t="s">
        <v>126</v>
      </c>
      <c r="BI17" s="75" t="s">
        <v>127</v>
      </c>
      <c r="BJ17" s="70">
        <v>60</v>
      </c>
      <c r="BK17" s="70">
        <v>0</v>
      </c>
      <c r="BL17" s="70">
        <v>0</v>
      </c>
      <c r="BM17" s="70">
        <v>63.8</v>
      </c>
      <c r="BN17" s="70">
        <v>53.6</v>
      </c>
      <c r="BO17" s="70">
        <v>7.05</v>
      </c>
      <c r="BP17" s="70">
        <v>6.13</v>
      </c>
      <c r="BQ17" s="70">
        <v>0</v>
      </c>
      <c r="BR17" s="70">
        <v>0</v>
      </c>
      <c r="BS17" s="70">
        <v>0</v>
      </c>
      <c r="BT17" s="70">
        <v>0</v>
      </c>
      <c r="BU17" s="70">
        <v>0.1</v>
      </c>
      <c r="BV17" s="70">
        <v>0.1</v>
      </c>
      <c r="BW17" s="70">
        <v>143.5</v>
      </c>
      <c r="BX17" s="70">
        <v>142.19999999999999</v>
      </c>
      <c r="BY17" s="70">
        <v>100.9</v>
      </c>
      <c r="BZ17" s="70">
        <v>99.1</v>
      </c>
      <c r="CA17" s="70">
        <v>9.1999999999999993</v>
      </c>
      <c r="CB17" s="70">
        <v>9.1</v>
      </c>
    </row>
    <row r="18" spans="1:81" x14ac:dyDescent="0.25">
      <c r="A18" s="8">
        <v>44894</v>
      </c>
      <c r="B18" s="3" t="s">
        <v>40</v>
      </c>
      <c r="C18" s="3" t="s">
        <v>10</v>
      </c>
      <c r="D18" s="4">
        <v>6.3</v>
      </c>
      <c r="E18" s="4">
        <v>98.1</v>
      </c>
      <c r="F18" s="4">
        <v>12.33</v>
      </c>
      <c r="G18" s="4">
        <v>103.9</v>
      </c>
      <c r="H18" s="4">
        <v>161.80000000000001</v>
      </c>
      <c r="I18" s="4">
        <v>0.1</v>
      </c>
      <c r="J18" s="3">
        <v>1.6</v>
      </c>
      <c r="L18" s="57">
        <v>44118</v>
      </c>
      <c r="M18" s="58" t="s">
        <v>63</v>
      </c>
      <c r="N18" s="58" t="s">
        <v>136</v>
      </c>
      <c r="O18" s="63">
        <v>0.59027777777777779</v>
      </c>
      <c r="P18" s="63">
        <v>0.625</v>
      </c>
      <c r="Q18" s="58" t="s">
        <v>130</v>
      </c>
      <c r="R18" s="58" t="s">
        <v>126</v>
      </c>
      <c r="S18" s="58" t="s">
        <v>132</v>
      </c>
      <c r="T18" s="58">
        <v>60</v>
      </c>
      <c r="U18" s="58"/>
      <c r="V18" s="58"/>
      <c r="W18" s="58">
        <v>94.8</v>
      </c>
      <c r="X18" s="58">
        <v>95</v>
      </c>
      <c r="Y18" s="58">
        <v>10.65</v>
      </c>
      <c r="Z18" s="58">
        <v>10.66</v>
      </c>
      <c r="AA18" s="65"/>
      <c r="AB18" s="65"/>
      <c r="AC18" s="58"/>
      <c r="AD18" s="58"/>
      <c r="AE18" s="58">
        <v>0.1</v>
      </c>
      <c r="AF18" s="58">
        <v>0.1</v>
      </c>
      <c r="AG18" s="58">
        <v>88.6</v>
      </c>
      <c r="AH18" s="58">
        <v>88.6</v>
      </c>
      <c r="AI18" s="58">
        <v>123.3</v>
      </c>
      <c r="AJ18" s="58">
        <v>123.3</v>
      </c>
      <c r="AK18" s="58">
        <v>10.199999999999999</v>
      </c>
      <c r="AL18" s="58">
        <v>10.199999999999999</v>
      </c>
      <c r="AM18" s="58" t="s">
        <v>140</v>
      </c>
      <c r="AN18" s="58" t="s">
        <v>128</v>
      </c>
      <c r="AO18" s="58" t="s">
        <v>129</v>
      </c>
      <c r="AQ18" s="69">
        <v>43733</v>
      </c>
      <c r="AR18" s="71" t="s">
        <v>18</v>
      </c>
      <c r="AS18" s="71" t="s">
        <v>124</v>
      </c>
      <c r="AT18" s="72">
        <v>0.57986111111111105</v>
      </c>
      <c r="AU18" s="72">
        <v>0.61805555555555558</v>
      </c>
      <c r="AV18" s="71" t="s">
        <v>160</v>
      </c>
      <c r="AW18" s="71" t="s">
        <v>126</v>
      </c>
      <c r="AX18" s="71" t="s">
        <v>133</v>
      </c>
      <c r="AY18" s="71">
        <v>95</v>
      </c>
      <c r="AZ18" s="68"/>
      <c r="BB18" s="74">
        <v>43040</v>
      </c>
      <c r="BC18" s="75" t="s">
        <v>83</v>
      </c>
      <c r="BD18" s="75" t="s">
        <v>164</v>
      </c>
      <c r="BE18" s="76">
        <v>0.61805555555555702</v>
      </c>
      <c r="BF18" s="76">
        <v>0.62361111111111256</v>
      </c>
      <c r="BG18" s="75" t="s">
        <v>160</v>
      </c>
      <c r="BH18" s="75" t="s">
        <v>126</v>
      </c>
      <c r="BI18" s="75" t="s">
        <v>127</v>
      </c>
      <c r="BJ18" s="70">
        <v>80</v>
      </c>
      <c r="BK18" s="70">
        <v>0</v>
      </c>
      <c r="BL18" s="70">
        <v>0</v>
      </c>
      <c r="BM18" s="70">
        <v>77.7</v>
      </c>
      <c r="BN18" s="70">
        <v>64.900000000000006</v>
      </c>
      <c r="BO18" s="70">
        <v>8.06</v>
      </c>
      <c r="BP18" s="70">
        <v>7.17</v>
      </c>
      <c r="BQ18" s="70">
        <v>0</v>
      </c>
      <c r="BR18" s="70">
        <v>0</v>
      </c>
      <c r="BS18" s="70">
        <v>0</v>
      </c>
      <c r="BT18" s="70">
        <v>0</v>
      </c>
      <c r="BU18" s="70">
        <v>0.1</v>
      </c>
      <c r="BV18" s="70">
        <v>0.1</v>
      </c>
      <c r="BW18" s="70">
        <v>226.9</v>
      </c>
      <c r="BX18" s="70">
        <v>225.5</v>
      </c>
      <c r="BY18" s="70">
        <v>164.1</v>
      </c>
      <c r="BZ18" s="70">
        <v>162.6</v>
      </c>
      <c r="CA18" s="70">
        <v>10.4</v>
      </c>
      <c r="CB18" s="70">
        <v>10.4</v>
      </c>
    </row>
    <row r="19" spans="1:81" x14ac:dyDescent="0.25">
      <c r="A19" s="8">
        <v>44894</v>
      </c>
      <c r="B19" s="3" t="s">
        <v>40</v>
      </c>
      <c r="C19" s="3" t="s">
        <v>10</v>
      </c>
      <c r="D19" s="4">
        <v>6.2</v>
      </c>
      <c r="E19" s="4">
        <v>68.400000000000006</v>
      </c>
      <c r="F19" s="4">
        <v>12.19</v>
      </c>
      <c r="G19" s="4">
        <v>104</v>
      </c>
      <c r="H19" s="4">
        <v>162.4</v>
      </c>
      <c r="I19" s="4">
        <v>0.1</v>
      </c>
      <c r="J19" s="3">
        <v>1.6</v>
      </c>
      <c r="L19" s="61">
        <v>44071</v>
      </c>
      <c r="M19" s="60" t="s">
        <v>49</v>
      </c>
      <c r="N19" s="60" t="s">
        <v>124</v>
      </c>
      <c r="O19" s="64">
        <v>0.55069444444444449</v>
      </c>
      <c r="P19" s="64">
        <v>0.57638888888888895</v>
      </c>
      <c r="Q19" s="60" t="s">
        <v>125</v>
      </c>
      <c r="R19" s="60" t="s">
        <v>126</v>
      </c>
      <c r="S19" s="60" t="s">
        <v>133</v>
      </c>
      <c r="T19" s="60"/>
      <c r="U19" s="60"/>
      <c r="V19" s="60"/>
      <c r="W19" s="60">
        <v>87.6</v>
      </c>
      <c r="X19" s="60">
        <v>85.1</v>
      </c>
      <c r="Y19" s="60">
        <v>9.25</v>
      </c>
      <c r="Z19" s="60">
        <v>9.3000000000000007</v>
      </c>
      <c r="AA19" s="66"/>
      <c r="AB19" s="66"/>
      <c r="AC19" s="60"/>
      <c r="AD19" s="60"/>
      <c r="AE19" s="60">
        <v>0.1</v>
      </c>
      <c r="AF19" s="60">
        <v>0.1</v>
      </c>
      <c r="AG19" s="60">
        <v>97.7</v>
      </c>
      <c r="AH19" s="60">
        <v>96.5</v>
      </c>
      <c r="AI19" s="60">
        <v>128.80000000000001</v>
      </c>
      <c r="AJ19" s="60">
        <v>127.5</v>
      </c>
      <c r="AK19" s="60">
        <v>12.4</v>
      </c>
      <c r="AL19" s="60">
        <v>12.2</v>
      </c>
      <c r="AM19" s="60" t="s">
        <v>141</v>
      </c>
      <c r="AN19" s="60" t="s">
        <v>128</v>
      </c>
      <c r="AO19" s="60" t="s">
        <v>129</v>
      </c>
      <c r="AQ19" s="69">
        <v>43735</v>
      </c>
      <c r="AR19" s="71" t="s">
        <v>49</v>
      </c>
      <c r="AS19" s="71" t="s">
        <v>124</v>
      </c>
      <c r="AT19" s="72">
        <v>0.48749999999999999</v>
      </c>
      <c r="AU19" s="72">
        <v>0.5083333333333333</v>
      </c>
      <c r="AV19" s="71" t="s">
        <v>160</v>
      </c>
      <c r="AW19" s="71" t="s">
        <v>126</v>
      </c>
      <c r="AX19" s="71" t="s">
        <v>133</v>
      </c>
      <c r="AY19" s="71">
        <v>95</v>
      </c>
      <c r="AZ19" s="68"/>
      <c r="BB19" s="74">
        <v>43041</v>
      </c>
      <c r="BC19" s="75" t="s">
        <v>40</v>
      </c>
      <c r="BD19" s="75" t="s">
        <v>164</v>
      </c>
      <c r="BE19" s="76">
        <v>0.437500000000001</v>
      </c>
      <c r="BF19" s="76">
        <v>0.45486111111111216</v>
      </c>
      <c r="BG19" s="75" t="s">
        <v>130</v>
      </c>
      <c r="BH19" s="75" t="s">
        <v>126</v>
      </c>
      <c r="BI19" s="75" t="s">
        <v>132</v>
      </c>
      <c r="BJ19" s="70">
        <v>70</v>
      </c>
      <c r="BK19" s="70">
        <v>0</v>
      </c>
      <c r="BL19" s="70">
        <v>0</v>
      </c>
      <c r="BM19" s="70">
        <v>68.099999999999994</v>
      </c>
      <c r="BN19" s="70">
        <v>47.7</v>
      </c>
      <c r="BO19" s="70">
        <v>7.17</v>
      </c>
      <c r="BP19" s="70">
        <v>5.34</v>
      </c>
      <c r="BQ19" s="70">
        <v>0</v>
      </c>
      <c r="BR19" s="70">
        <v>0</v>
      </c>
      <c r="BS19" s="70">
        <v>0</v>
      </c>
      <c r="BT19" s="70">
        <v>0</v>
      </c>
      <c r="BU19" s="70">
        <v>0.1</v>
      </c>
      <c r="BV19" s="70">
        <v>0.1</v>
      </c>
      <c r="BW19" s="70">
        <v>165</v>
      </c>
      <c r="BX19" s="70">
        <v>165.1</v>
      </c>
      <c r="BY19" s="70">
        <v>115.4</v>
      </c>
      <c r="BZ19" s="70">
        <v>115.3</v>
      </c>
      <c r="CA19" s="70">
        <v>9.8000000000000007</v>
      </c>
      <c r="CB19" s="70">
        <v>9.1999999999999993</v>
      </c>
      <c r="CC19" s="75" t="s">
        <v>171</v>
      </c>
    </row>
    <row r="20" spans="1:81" x14ac:dyDescent="0.25">
      <c r="A20" s="8">
        <v>44903</v>
      </c>
      <c r="B20" s="3" t="s">
        <v>40</v>
      </c>
      <c r="C20" s="3" t="s">
        <v>10</v>
      </c>
      <c r="D20" s="4">
        <v>5.5</v>
      </c>
      <c r="E20" s="4">
        <v>87.5</v>
      </c>
      <c r="F20" s="4">
        <v>11.02</v>
      </c>
      <c r="G20" s="4">
        <v>85.9</v>
      </c>
      <c r="H20" s="4">
        <v>136.9</v>
      </c>
      <c r="I20" s="4">
        <v>0.1</v>
      </c>
      <c r="J20" s="3">
        <v>4.4000000000000004</v>
      </c>
      <c r="L20" s="57">
        <v>44071</v>
      </c>
      <c r="M20" s="58" t="s">
        <v>63</v>
      </c>
      <c r="N20" s="58" t="s">
        <v>124</v>
      </c>
      <c r="O20" s="63">
        <v>0.5805555555555556</v>
      </c>
      <c r="P20" s="63">
        <v>0.62361111111111112</v>
      </c>
      <c r="Q20" s="58" t="s">
        <v>125</v>
      </c>
      <c r="R20" s="58" t="s">
        <v>126</v>
      </c>
      <c r="S20" s="58" t="s">
        <v>133</v>
      </c>
      <c r="T20" s="58"/>
      <c r="U20" s="58"/>
      <c r="V20" s="58"/>
      <c r="W20" s="58">
        <v>91.5</v>
      </c>
      <c r="X20" s="58">
        <v>90.4</v>
      </c>
      <c r="Y20" s="58">
        <v>9.7899999999999991</v>
      </c>
      <c r="Z20" s="58">
        <v>9.73</v>
      </c>
      <c r="AA20" s="65"/>
      <c r="AB20" s="65"/>
      <c r="AC20" s="58"/>
      <c r="AD20" s="58"/>
      <c r="AE20" s="58">
        <v>0.1</v>
      </c>
      <c r="AF20" s="58">
        <v>0.1</v>
      </c>
      <c r="AG20" s="58">
        <v>95.2</v>
      </c>
      <c r="AH20" s="58">
        <v>95.2</v>
      </c>
      <c r="AI20" s="58">
        <v>126.3</v>
      </c>
      <c r="AJ20" s="58">
        <v>126.5</v>
      </c>
      <c r="AK20" s="58">
        <v>12.2</v>
      </c>
      <c r="AL20" s="58">
        <v>12.1</v>
      </c>
      <c r="AM20" s="58"/>
      <c r="AN20" s="58" t="s">
        <v>128</v>
      </c>
      <c r="AO20" s="58" t="s">
        <v>129</v>
      </c>
      <c r="AQ20" s="69">
        <v>43735</v>
      </c>
      <c r="AR20" s="71" t="s">
        <v>162</v>
      </c>
      <c r="AS20" s="71" t="s">
        <v>124</v>
      </c>
      <c r="AT20" s="72">
        <v>0.5083333333333333</v>
      </c>
      <c r="AU20" s="72">
        <v>0.54513888888888895</v>
      </c>
      <c r="AV20" s="71" t="s">
        <v>160</v>
      </c>
      <c r="AW20" s="71" t="s">
        <v>126</v>
      </c>
      <c r="AX20" s="71" t="s">
        <v>133</v>
      </c>
      <c r="AY20" s="71">
        <v>95</v>
      </c>
      <c r="AZ20" s="68"/>
      <c r="BB20" s="74">
        <v>43041</v>
      </c>
      <c r="BC20" s="75" t="s">
        <v>172</v>
      </c>
      <c r="BD20" s="75" t="s">
        <v>164</v>
      </c>
      <c r="BE20" s="76">
        <v>0.51388888888889006</v>
      </c>
      <c r="BF20" s="76">
        <v>0.5472222222222235</v>
      </c>
      <c r="BG20" s="75" t="s">
        <v>130</v>
      </c>
      <c r="BH20" s="75" t="s">
        <v>126</v>
      </c>
      <c r="BI20" s="75" t="s">
        <v>132</v>
      </c>
      <c r="BJ20" s="70">
        <v>60</v>
      </c>
      <c r="BK20" s="70">
        <v>12</v>
      </c>
      <c r="BL20" s="70">
        <v>12</v>
      </c>
      <c r="BM20" s="70">
        <v>82.1</v>
      </c>
      <c r="BN20" s="70">
        <v>79.099999999999994</v>
      </c>
      <c r="BO20" s="70">
        <v>9.4600000000000009</v>
      </c>
      <c r="BP20" s="70">
        <v>9.15</v>
      </c>
      <c r="BQ20" s="70">
        <v>0</v>
      </c>
      <c r="BR20" s="70">
        <v>0</v>
      </c>
      <c r="BS20" s="70">
        <v>0</v>
      </c>
      <c r="BT20" s="70">
        <v>0</v>
      </c>
      <c r="BU20" s="70">
        <v>0.1</v>
      </c>
      <c r="BV20" s="70">
        <v>0.1</v>
      </c>
      <c r="BW20" s="70">
        <v>108.1</v>
      </c>
      <c r="BX20" s="70">
        <v>108</v>
      </c>
      <c r="BY20" s="70">
        <v>74.8</v>
      </c>
      <c r="BZ20" s="70">
        <v>74.599999999999994</v>
      </c>
      <c r="CA20" s="70">
        <v>8.9</v>
      </c>
      <c r="CB20" s="70">
        <v>8.8000000000000007</v>
      </c>
    </row>
    <row r="21" spans="1:81" x14ac:dyDescent="0.25">
      <c r="A21" s="8">
        <v>44903</v>
      </c>
      <c r="B21" s="3" t="s">
        <v>40</v>
      </c>
      <c r="C21" s="3" t="s">
        <v>10</v>
      </c>
      <c r="D21" s="4">
        <v>5.5</v>
      </c>
      <c r="E21" s="4">
        <v>87.2</v>
      </c>
      <c r="F21" s="4">
        <v>10.98</v>
      </c>
      <c r="G21" s="4">
        <v>85.9</v>
      </c>
      <c r="H21" s="4">
        <v>136.9</v>
      </c>
      <c r="I21" s="4">
        <v>0.1</v>
      </c>
      <c r="J21" s="3">
        <v>4.4000000000000004</v>
      </c>
      <c r="L21" s="61">
        <v>44132</v>
      </c>
      <c r="M21" s="60" t="s">
        <v>34</v>
      </c>
      <c r="N21" s="60" t="s">
        <v>136</v>
      </c>
      <c r="O21" s="64">
        <v>0.44305555555555554</v>
      </c>
      <c r="P21" s="64">
        <v>0.45833333333333331</v>
      </c>
      <c r="Q21" s="60" t="s">
        <v>130</v>
      </c>
      <c r="R21" s="60" t="s">
        <v>126</v>
      </c>
      <c r="S21" s="60" t="s">
        <v>133</v>
      </c>
      <c r="T21" s="60">
        <v>95</v>
      </c>
      <c r="U21" s="60">
        <v>55</v>
      </c>
      <c r="V21" s="60">
        <v>59</v>
      </c>
      <c r="W21" s="60">
        <v>96.3</v>
      </c>
      <c r="X21" s="60">
        <v>96</v>
      </c>
      <c r="Y21" s="60">
        <v>11.07</v>
      </c>
      <c r="Z21" s="60">
        <v>11.06</v>
      </c>
      <c r="AA21" s="66"/>
      <c r="AB21" s="66"/>
      <c r="AC21" s="60"/>
      <c r="AD21" s="60"/>
      <c r="AE21" s="60">
        <v>0</v>
      </c>
      <c r="AF21" s="60">
        <v>0</v>
      </c>
      <c r="AG21" s="60">
        <v>63.2</v>
      </c>
      <c r="AH21" s="60">
        <v>62.9</v>
      </c>
      <c r="AI21" s="60">
        <v>90.5</v>
      </c>
      <c r="AJ21" s="60">
        <v>90.5</v>
      </c>
      <c r="AK21" s="60">
        <v>9.1999999999999993</v>
      </c>
      <c r="AL21" s="60">
        <v>9.1</v>
      </c>
      <c r="AM21" s="60"/>
      <c r="AN21" s="60" t="s">
        <v>128</v>
      </c>
      <c r="AO21" s="60" t="s">
        <v>129</v>
      </c>
      <c r="AQ21" s="69">
        <v>43735</v>
      </c>
      <c r="AR21" s="71" t="s">
        <v>30</v>
      </c>
      <c r="AS21" s="71" t="s">
        <v>124</v>
      </c>
      <c r="AT21" s="72">
        <v>0.60138888888888886</v>
      </c>
      <c r="AU21" s="72">
        <v>0.61111111111111105</v>
      </c>
      <c r="AV21" s="71" t="s">
        <v>160</v>
      </c>
      <c r="AW21" s="71" t="s">
        <v>126</v>
      </c>
      <c r="AX21" s="71" t="s">
        <v>127</v>
      </c>
      <c r="AY21" s="71">
        <v>90</v>
      </c>
      <c r="AZ21" s="68"/>
      <c r="BB21" s="74">
        <v>43041</v>
      </c>
      <c r="BC21" s="75" t="s">
        <v>162</v>
      </c>
      <c r="BD21" s="75" t="s">
        <v>164</v>
      </c>
      <c r="BE21" s="76">
        <v>0.55000000000000127</v>
      </c>
      <c r="BF21" s="76">
        <v>0.59027777777777912</v>
      </c>
      <c r="BG21" s="75" t="s">
        <v>130</v>
      </c>
      <c r="BH21" s="75" t="s">
        <v>138</v>
      </c>
      <c r="BI21" s="75" t="s">
        <v>163</v>
      </c>
      <c r="BJ21" s="70">
        <v>70</v>
      </c>
      <c r="BK21" s="70">
        <v>0</v>
      </c>
      <c r="BL21" s="70">
        <v>0</v>
      </c>
      <c r="BM21" s="70">
        <v>86.8</v>
      </c>
      <c r="BN21" s="70">
        <v>83.7</v>
      </c>
      <c r="BO21" s="70">
        <v>0</v>
      </c>
      <c r="BP21" s="70">
        <v>9.58</v>
      </c>
      <c r="BQ21" s="70">
        <v>0</v>
      </c>
      <c r="BR21" s="70">
        <v>0</v>
      </c>
      <c r="BS21" s="70">
        <v>0</v>
      </c>
      <c r="BT21" s="70">
        <v>0</v>
      </c>
      <c r="BU21" s="70">
        <v>0.1</v>
      </c>
      <c r="BV21" s="70">
        <v>0.1</v>
      </c>
      <c r="BW21" s="70">
        <v>111.3</v>
      </c>
      <c r="BX21" s="70">
        <v>111.6</v>
      </c>
      <c r="BY21" s="70">
        <v>77.599999999999994</v>
      </c>
      <c r="BZ21" s="70">
        <v>77.7</v>
      </c>
      <c r="CA21" s="70">
        <v>9.1999999999999993</v>
      </c>
      <c r="CB21" s="70">
        <v>9.1</v>
      </c>
    </row>
    <row r="22" spans="1:81" x14ac:dyDescent="0.25">
      <c r="A22" s="8">
        <v>44908</v>
      </c>
      <c r="B22" s="3" t="s">
        <v>40</v>
      </c>
      <c r="C22" s="3" t="s">
        <v>16</v>
      </c>
      <c r="D22" s="4">
        <v>5.7</v>
      </c>
      <c r="E22" s="4">
        <v>86</v>
      </c>
      <c r="F22" s="4">
        <v>10.79</v>
      </c>
      <c r="G22" s="4">
        <v>86.2</v>
      </c>
      <c r="H22" s="4">
        <v>136.4</v>
      </c>
      <c r="I22" s="4">
        <v>0.1</v>
      </c>
      <c r="J22" s="3">
        <v>3.8</v>
      </c>
      <c r="L22" s="57">
        <v>44132</v>
      </c>
      <c r="M22" s="58" t="s">
        <v>18</v>
      </c>
      <c r="N22" s="58" t="s">
        <v>136</v>
      </c>
      <c r="O22" s="63">
        <v>0.57847222222222217</v>
      </c>
      <c r="P22" s="63">
        <v>0.60833333333333328</v>
      </c>
      <c r="Q22" s="58" t="s">
        <v>125</v>
      </c>
      <c r="R22" s="58" t="s">
        <v>126</v>
      </c>
      <c r="S22" s="58" t="s">
        <v>127</v>
      </c>
      <c r="T22" s="58">
        <v>70</v>
      </c>
      <c r="U22" s="58"/>
      <c r="V22" s="58"/>
      <c r="W22" s="58">
        <v>91.3</v>
      </c>
      <c r="X22" s="58">
        <v>91.1</v>
      </c>
      <c r="Y22" s="58">
        <v>10.49</v>
      </c>
      <c r="Z22" s="58">
        <v>10.47</v>
      </c>
      <c r="AA22" s="65"/>
      <c r="AB22" s="65"/>
      <c r="AC22" s="58"/>
      <c r="AD22" s="58"/>
      <c r="AE22" s="58">
        <v>0.1</v>
      </c>
      <c r="AF22" s="58">
        <v>0.1</v>
      </c>
      <c r="AG22" s="58">
        <v>74.3</v>
      </c>
      <c r="AH22" s="58">
        <v>74.3</v>
      </c>
      <c r="AI22" s="58">
        <v>106.4</v>
      </c>
      <c r="AJ22" s="58">
        <v>106.4</v>
      </c>
      <c r="AK22" s="58">
        <v>9.1999999999999993</v>
      </c>
      <c r="AL22" s="58">
        <v>9.1999999999999993</v>
      </c>
      <c r="AM22" s="58"/>
      <c r="AN22" s="58" t="s">
        <v>128</v>
      </c>
      <c r="AO22" s="58" t="s">
        <v>129</v>
      </c>
      <c r="AQ22" s="69">
        <v>43739</v>
      </c>
      <c r="AR22" s="71" t="s">
        <v>40</v>
      </c>
      <c r="AS22" s="71" t="s">
        <v>124</v>
      </c>
      <c r="AT22" s="72">
        <v>0.6430555555555556</v>
      </c>
      <c r="AU22" s="72">
        <v>0.66527777777777775</v>
      </c>
      <c r="AV22" s="71" t="s">
        <v>160</v>
      </c>
      <c r="AW22" s="71" t="s">
        <v>138</v>
      </c>
      <c r="AX22" s="71" t="s">
        <v>163</v>
      </c>
      <c r="AY22" s="71">
        <v>85</v>
      </c>
      <c r="AZ22" s="68"/>
      <c r="BB22" s="74">
        <v>43048</v>
      </c>
      <c r="BC22" s="75" t="s">
        <v>34</v>
      </c>
      <c r="BD22" s="75" t="s">
        <v>164</v>
      </c>
      <c r="BE22" s="76">
        <v>0.43958333333333438</v>
      </c>
      <c r="BF22" s="76">
        <v>0.44791666666666768</v>
      </c>
      <c r="BG22" s="75" t="s">
        <v>130</v>
      </c>
      <c r="BH22" s="75" t="s">
        <v>138</v>
      </c>
      <c r="BI22" s="75" t="s">
        <v>133</v>
      </c>
      <c r="BJ22" s="70">
        <v>85</v>
      </c>
      <c r="BK22" s="70">
        <v>0</v>
      </c>
      <c r="BL22" s="70">
        <v>0</v>
      </c>
      <c r="BM22" s="70">
        <v>86</v>
      </c>
      <c r="BN22" s="70">
        <v>82.9</v>
      </c>
      <c r="BO22" s="70">
        <v>9.9499999999999993</v>
      </c>
      <c r="BP22" s="70">
        <v>9.68</v>
      </c>
      <c r="BQ22" s="70">
        <v>0</v>
      </c>
      <c r="BR22" s="70">
        <v>0</v>
      </c>
      <c r="BS22" s="70">
        <v>0</v>
      </c>
      <c r="BT22" s="70">
        <v>0</v>
      </c>
      <c r="BU22" s="70">
        <v>0</v>
      </c>
      <c r="BV22" s="70">
        <v>0</v>
      </c>
      <c r="BW22" s="70">
        <v>60.1</v>
      </c>
      <c r="BX22" s="70">
        <v>63</v>
      </c>
      <c r="BY22" s="70">
        <v>41.4</v>
      </c>
      <c r="BZ22" s="70">
        <v>41.9</v>
      </c>
      <c r="CA22" s="70">
        <v>8.5</v>
      </c>
      <c r="CB22" s="70">
        <v>8.4</v>
      </c>
    </row>
    <row r="23" spans="1:81" x14ac:dyDescent="0.25">
      <c r="A23" s="8">
        <v>44908</v>
      </c>
      <c r="B23" s="3" t="s">
        <v>40</v>
      </c>
      <c r="C23" s="3" t="s">
        <v>16</v>
      </c>
      <c r="D23" s="4">
        <v>5.7</v>
      </c>
      <c r="E23" s="4">
        <v>85.8</v>
      </c>
      <c r="F23" s="4">
        <v>10.76</v>
      </c>
      <c r="G23" s="4">
        <v>86.2</v>
      </c>
      <c r="H23" s="4">
        <v>136.5</v>
      </c>
      <c r="I23" s="4">
        <v>0.1</v>
      </c>
      <c r="J23" s="3">
        <v>3.8</v>
      </c>
      <c r="L23" s="61">
        <v>44133</v>
      </c>
      <c r="M23" s="60" t="s">
        <v>83</v>
      </c>
      <c r="N23" s="60" t="s">
        <v>136</v>
      </c>
      <c r="O23" s="64">
        <v>0.56805555555555554</v>
      </c>
      <c r="P23" s="64">
        <v>0.5708333333333333</v>
      </c>
      <c r="Q23" s="60" t="s">
        <v>125</v>
      </c>
      <c r="R23" s="60" t="s">
        <v>126</v>
      </c>
      <c r="S23" s="60" t="s">
        <v>133</v>
      </c>
      <c r="T23" s="60">
        <v>95</v>
      </c>
      <c r="U23" s="60">
        <v>59</v>
      </c>
      <c r="V23" s="60">
        <v>59</v>
      </c>
      <c r="W23" s="60">
        <v>97.2</v>
      </c>
      <c r="X23" s="60">
        <v>96.5</v>
      </c>
      <c r="Y23" s="60">
        <v>10.8</v>
      </c>
      <c r="Z23" s="60">
        <v>10.76</v>
      </c>
      <c r="AA23" s="66"/>
      <c r="AB23" s="66"/>
      <c r="AC23" s="60"/>
      <c r="AD23" s="60"/>
      <c r="AE23" s="60">
        <v>0.1</v>
      </c>
      <c r="AF23" s="60">
        <v>0.1</v>
      </c>
      <c r="AG23" s="60">
        <v>171.8</v>
      </c>
      <c r="AH23" s="60">
        <v>171.8</v>
      </c>
      <c r="AI23" s="60">
        <v>236.7</v>
      </c>
      <c r="AJ23" s="60">
        <v>237</v>
      </c>
      <c r="AK23" s="60">
        <v>10.7</v>
      </c>
      <c r="AL23" s="60">
        <v>10.6</v>
      </c>
      <c r="AM23" s="60"/>
      <c r="AN23" s="60" t="s">
        <v>128</v>
      </c>
      <c r="AO23" s="60" t="s">
        <v>129</v>
      </c>
      <c r="AQ23" s="69">
        <v>43739</v>
      </c>
      <c r="AR23" s="71" t="s">
        <v>83</v>
      </c>
      <c r="AS23" s="71" t="s">
        <v>124</v>
      </c>
      <c r="AT23" s="72">
        <v>0.69374999999999998</v>
      </c>
      <c r="AU23" s="72">
        <v>0.69791666666666663</v>
      </c>
      <c r="AV23" s="71" t="s">
        <v>160</v>
      </c>
      <c r="AW23" s="71" t="s">
        <v>126</v>
      </c>
      <c r="AX23" s="71" t="s">
        <v>127</v>
      </c>
      <c r="AY23" s="71">
        <v>100</v>
      </c>
      <c r="AZ23" s="68"/>
      <c r="BB23" s="74">
        <v>43048</v>
      </c>
      <c r="BC23" s="75" t="s">
        <v>173</v>
      </c>
      <c r="BD23" s="75" t="s">
        <v>164</v>
      </c>
      <c r="BE23" s="76">
        <v>0.45138888888888995</v>
      </c>
      <c r="BF23" s="76">
        <v>0.45833333333333443</v>
      </c>
      <c r="BG23" s="75" t="s">
        <v>130</v>
      </c>
      <c r="BH23" s="75" t="s">
        <v>138</v>
      </c>
      <c r="BI23" s="75" t="s">
        <v>133</v>
      </c>
      <c r="BJ23" s="70">
        <v>80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0</v>
      </c>
      <c r="BX23" s="70">
        <v>0</v>
      </c>
      <c r="BY23" s="70">
        <v>0</v>
      </c>
      <c r="BZ23" s="70">
        <v>0</v>
      </c>
      <c r="CA23" s="70">
        <v>0</v>
      </c>
      <c r="CB23" s="70">
        <v>0</v>
      </c>
    </row>
    <row r="24" spans="1:81" x14ac:dyDescent="0.25">
      <c r="A24" s="8">
        <v>44848</v>
      </c>
      <c r="B24" s="3" t="s">
        <v>18</v>
      </c>
      <c r="C24" s="3" t="s">
        <v>11</v>
      </c>
      <c r="D24" s="4">
        <v>9.9</v>
      </c>
      <c r="E24" s="4">
        <v>99.8</v>
      </c>
      <c r="F24" s="4">
        <v>11.3</v>
      </c>
      <c r="G24" s="4">
        <v>68.599999999999994</v>
      </c>
      <c r="H24" s="4">
        <v>96.3</v>
      </c>
      <c r="I24" s="4">
        <v>0</v>
      </c>
      <c r="J24" s="3">
        <v>18.3</v>
      </c>
      <c r="L24" s="57">
        <v>44133</v>
      </c>
      <c r="M24" s="58" t="s">
        <v>42</v>
      </c>
      <c r="N24" s="58" t="s">
        <v>136</v>
      </c>
      <c r="O24" s="63">
        <v>0.59236111111111112</v>
      </c>
      <c r="P24" s="63">
        <v>0.625</v>
      </c>
      <c r="Q24" s="58" t="s">
        <v>142</v>
      </c>
      <c r="R24" s="58" t="s">
        <v>126</v>
      </c>
      <c r="S24" s="58" t="s">
        <v>133</v>
      </c>
      <c r="T24" s="58">
        <v>90</v>
      </c>
      <c r="U24" s="58"/>
      <c r="V24" s="58"/>
      <c r="W24" s="58">
        <v>57.5</v>
      </c>
      <c r="X24" s="58">
        <v>57.2</v>
      </c>
      <c r="Y24" s="58">
        <v>6.42</v>
      </c>
      <c r="Z24" s="58">
        <v>6.39</v>
      </c>
      <c r="AA24" s="65"/>
      <c r="AB24" s="65"/>
      <c r="AC24" s="58"/>
      <c r="AD24" s="58"/>
      <c r="AE24" s="58">
        <v>0.1</v>
      </c>
      <c r="AF24" s="58">
        <v>0.1</v>
      </c>
      <c r="AG24" s="58">
        <v>103</v>
      </c>
      <c r="AH24" s="58">
        <v>102.4</v>
      </c>
      <c r="AI24" s="58">
        <v>141.80000000000001</v>
      </c>
      <c r="AJ24" s="58">
        <v>141.6</v>
      </c>
      <c r="AK24" s="58">
        <v>10.7</v>
      </c>
      <c r="AL24" s="58">
        <v>10.6</v>
      </c>
      <c r="AM24" s="58"/>
      <c r="AN24" s="58" t="s">
        <v>128</v>
      </c>
      <c r="AO24" s="58" t="s">
        <v>129</v>
      </c>
      <c r="AQ24" s="69">
        <v>43740</v>
      </c>
      <c r="AR24" s="71" t="s">
        <v>42</v>
      </c>
      <c r="AS24" s="71" t="s">
        <v>124</v>
      </c>
      <c r="AT24" s="72">
        <v>0.43124999999999997</v>
      </c>
      <c r="AU24" s="72">
        <v>0.47569444444444442</v>
      </c>
      <c r="AV24" s="71" t="s">
        <v>160</v>
      </c>
      <c r="AW24" s="71" t="s">
        <v>126</v>
      </c>
      <c r="AX24" s="71" t="s">
        <v>127</v>
      </c>
      <c r="AY24" s="71">
        <v>90</v>
      </c>
      <c r="AZ24" s="68"/>
      <c r="BB24" s="74">
        <v>43048</v>
      </c>
      <c r="BC24" s="75" t="s">
        <v>18</v>
      </c>
      <c r="BD24" s="75" t="s">
        <v>164</v>
      </c>
      <c r="BE24" s="76">
        <v>0.50347222222222343</v>
      </c>
      <c r="BF24" s="76">
        <v>0.55763888888889024</v>
      </c>
      <c r="BG24" s="75" t="s">
        <v>130</v>
      </c>
      <c r="BH24" s="75" t="s">
        <v>138</v>
      </c>
      <c r="BI24" s="75" t="s">
        <v>127</v>
      </c>
      <c r="BJ24" s="70">
        <v>70</v>
      </c>
      <c r="BK24" s="70">
        <v>0</v>
      </c>
      <c r="BL24" s="70">
        <v>0</v>
      </c>
      <c r="BM24" s="70">
        <v>82.3</v>
      </c>
      <c r="BN24" s="70">
        <v>82.3</v>
      </c>
      <c r="BO24" s="70">
        <v>9.6300000000000008</v>
      </c>
      <c r="BP24" s="70">
        <v>9.6300000000000008</v>
      </c>
      <c r="BQ24" s="70">
        <v>0</v>
      </c>
      <c r="BR24" s="70">
        <v>0</v>
      </c>
      <c r="BS24" s="70">
        <v>0</v>
      </c>
      <c r="BT24" s="70">
        <v>0</v>
      </c>
      <c r="BU24" s="70">
        <v>0</v>
      </c>
      <c r="BV24" s="70">
        <v>0</v>
      </c>
      <c r="BW24" s="70">
        <v>88.5</v>
      </c>
      <c r="BX24" s="70">
        <v>88.2</v>
      </c>
      <c r="BY24" s="70">
        <v>60.6</v>
      </c>
      <c r="BZ24" s="70">
        <v>60.4</v>
      </c>
      <c r="CA24" s="70">
        <v>8.5</v>
      </c>
      <c r="CB24" s="70">
        <v>8.5</v>
      </c>
    </row>
    <row r="25" spans="1:81" x14ac:dyDescent="0.25">
      <c r="A25" s="8">
        <v>44848</v>
      </c>
      <c r="B25" s="3" t="s">
        <v>18</v>
      </c>
      <c r="C25" s="3" t="s">
        <v>11</v>
      </c>
      <c r="D25" s="4">
        <v>9.9</v>
      </c>
      <c r="E25" s="4">
        <v>99.9</v>
      </c>
      <c r="F25" s="4">
        <v>11.3</v>
      </c>
      <c r="G25" s="4">
        <v>68.900000000000006</v>
      </c>
      <c r="H25" s="4">
        <v>96.9</v>
      </c>
      <c r="I25" s="4">
        <v>0</v>
      </c>
      <c r="J25" s="3">
        <v>18.3</v>
      </c>
      <c r="L25" s="61">
        <v>44133</v>
      </c>
      <c r="M25" s="60" t="s">
        <v>40</v>
      </c>
      <c r="N25" s="60" t="s">
        <v>136</v>
      </c>
      <c r="O25" s="64">
        <v>0.64930555555555558</v>
      </c>
      <c r="P25" s="64">
        <v>0.66527777777777775</v>
      </c>
      <c r="Q25" s="60" t="s">
        <v>125</v>
      </c>
      <c r="R25" s="60" t="s">
        <v>126</v>
      </c>
      <c r="S25" s="60" t="s">
        <v>127</v>
      </c>
      <c r="T25" s="60">
        <v>80</v>
      </c>
      <c r="U25" s="60"/>
      <c r="V25" s="60"/>
      <c r="W25" s="60">
        <v>57.7</v>
      </c>
      <c r="X25" s="60">
        <v>56.4</v>
      </c>
      <c r="Y25" s="60">
        <v>6.43</v>
      </c>
      <c r="Z25" s="60">
        <v>6.31</v>
      </c>
      <c r="AA25" s="66"/>
      <c r="AB25" s="66"/>
      <c r="AC25" s="60"/>
      <c r="AD25" s="60"/>
      <c r="AE25" s="60">
        <v>0.1</v>
      </c>
      <c r="AF25" s="60">
        <v>0.1</v>
      </c>
      <c r="AG25" s="60">
        <v>122.7</v>
      </c>
      <c r="AH25" s="60">
        <v>122.6</v>
      </c>
      <c r="AI25" s="60">
        <v>171.4</v>
      </c>
      <c r="AJ25" s="60">
        <v>171.3</v>
      </c>
      <c r="AK25" s="60">
        <v>10.1</v>
      </c>
      <c r="AL25" s="60">
        <v>10.1</v>
      </c>
      <c r="AM25" s="60"/>
      <c r="AN25" s="60" t="s">
        <v>128</v>
      </c>
      <c r="AO25" s="60" t="s">
        <v>129</v>
      </c>
      <c r="AQ25" s="69">
        <v>43740</v>
      </c>
      <c r="AR25" s="71" t="s">
        <v>34</v>
      </c>
      <c r="AS25" s="71" t="s">
        <v>124</v>
      </c>
      <c r="AT25" s="72">
        <v>0.44097222222222227</v>
      </c>
      <c r="AU25" s="72">
        <v>0.44791666666666669</v>
      </c>
      <c r="AV25" s="71" t="s">
        <v>160</v>
      </c>
      <c r="AW25" s="71" t="s">
        <v>126</v>
      </c>
      <c r="AX25" s="71" t="s">
        <v>133</v>
      </c>
      <c r="AY25" s="71">
        <v>100</v>
      </c>
      <c r="AZ25" s="68"/>
      <c r="BB25" s="74">
        <v>43054</v>
      </c>
      <c r="BC25" s="75" t="s">
        <v>83</v>
      </c>
      <c r="BD25" s="75" t="s">
        <v>164</v>
      </c>
      <c r="BE25" s="76">
        <v>0.64930555555555702</v>
      </c>
      <c r="BF25" s="76">
        <v>0.65625000000000155</v>
      </c>
      <c r="BG25" s="75" t="s">
        <v>130</v>
      </c>
      <c r="BH25" s="75" t="s">
        <v>138</v>
      </c>
      <c r="BI25" s="75" t="s">
        <v>163</v>
      </c>
      <c r="BJ25" s="70">
        <v>70</v>
      </c>
      <c r="BK25" s="70">
        <v>0</v>
      </c>
      <c r="BL25" s="70">
        <v>0</v>
      </c>
      <c r="BM25" s="70">
        <v>0</v>
      </c>
      <c r="BN25" s="70">
        <v>0</v>
      </c>
      <c r="BO25" s="70">
        <v>0</v>
      </c>
      <c r="BP25" s="70">
        <v>0</v>
      </c>
      <c r="BQ25" s="70">
        <v>0</v>
      </c>
      <c r="BR25" s="70">
        <v>0</v>
      </c>
      <c r="BS25" s="70">
        <v>0</v>
      </c>
      <c r="BT25" s="70">
        <v>0</v>
      </c>
      <c r="BU25" s="70">
        <v>0</v>
      </c>
      <c r="BV25" s="70">
        <v>0</v>
      </c>
      <c r="BW25" s="70">
        <v>0</v>
      </c>
      <c r="BX25" s="70">
        <v>0</v>
      </c>
      <c r="BY25" s="70">
        <v>0</v>
      </c>
      <c r="BZ25" s="70">
        <v>0</v>
      </c>
      <c r="CA25" s="70">
        <v>0</v>
      </c>
      <c r="CB25" s="70">
        <v>0</v>
      </c>
    </row>
    <row r="26" spans="1:81" x14ac:dyDescent="0.25">
      <c r="A26" s="8">
        <v>44855</v>
      </c>
      <c r="B26" s="3" t="s">
        <v>18</v>
      </c>
      <c r="C26" s="3" t="s">
        <v>10</v>
      </c>
      <c r="D26" s="4">
        <v>9.9</v>
      </c>
      <c r="E26" s="4">
        <v>92.8</v>
      </c>
      <c r="F26" s="4">
        <v>10.5</v>
      </c>
      <c r="G26" s="4">
        <v>77</v>
      </c>
      <c r="H26" s="4">
        <v>108.4</v>
      </c>
      <c r="I26" s="4">
        <v>0.1</v>
      </c>
      <c r="J26" s="3">
        <v>12.7</v>
      </c>
      <c r="L26" s="57">
        <v>44137</v>
      </c>
      <c r="M26" s="58" t="s">
        <v>49</v>
      </c>
      <c r="N26" s="58" t="s">
        <v>136</v>
      </c>
      <c r="O26" s="63">
        <v>0.4152777777777778</v>
      </c>
      <c r="P26" s="63">
        <v>0.43472222222222223</v>
      </c>
      <c r="Q26" s="58" t="s">
        <v>125</v>
      </c>
      <c r="R26" s="58" t="s">
        <v>126</v>
      </c>
      <c r="S26" s="58" t="s">
        <v>127</v>
      </c>
      <c r="T26" s="58">
        <v>70</v>
      </c>
      <c r="U26" s="58"/>
      <c r="V26" s="58"/>
      <c r="W26" s="58">
        <v>84.7</v>
      </c>
      <c r="X26" s="58">
        <v>85.5</v>
      </c>
      <c r="Y26" s="58">
        <v>10.14</v>
      </c>
      <c r="Z26" s="58">
        <v>10.29</v>
      </c>
      <c r="AA26" s="65"/>
      <c r="AB26" s="65"/>
      <c r="AC26" s="58"/>
      <c r="AD26" s="58"/>
      <c r="AE26" s="58">
        <v>0</v>
      </c>
      <c r="AF26" s="58">
        <v>0</v>
      </c>
      <c r="AG26" s="58">
        <v>59.5</v>
      </c>
      <c r="AH26" s="58">
        <v>59.3</v>
      </c>
      <c r="AI26" s="58">
        <v>89.8</v>
      </c>
      <c r="AJ26" s="58">
        <v>89.7</v>
      </c>
      <c r="AK26" s="58">
        <v>74</v>
      </c>
      <c r="AL26" s="58">
        <v>7.3</v>
      </c>
      <c r="AM26" s="58"/>
      <c r="AN26" s="58" t="s">
        <v>128</v>
      </c>
      <c r="AO26" s="58" t="s">
        <v>129</v>
      </c>
      <c r="AQ26" s="69">
        <v>43740</v>
      </c>
      <c r="AR26" s="71" t="s">
        <v>18</v>
      </c>
      <c r="AS26" s="71" t="s">
        <v>124</v>
      </c>
      <c r="AT26" s="72">
        <v>0.52430555555555558</v>
      </c>
      <c r="AU26" s="72">
        <v>0.5625</v>
      </c>
      <c r="AV26" s="71" t="s">
        <v>160</v>
      </c>
      <c r="AW26" s="71" t="s">
        <v>126</v>
      </c>
      <c r="AX26" s="71" t="s">
        <v>133</v>
      </c>
      <c r="AY26" s="71">
        <v>95</v>
      </c>
      <c r="AZ26" s="68"/>
      <c r="BB26" s="74">
        <v>43055</v>
      </c>
      <c r="BC26" s="75" t="s">
        <v>42</v>
      </c>
      <c r="BD26" s="75" t="s">
        <v>174</v>
      </c>
      <c r="BE26" s="76">
        <v>0.46736111111111217</v>
      </c>
      <c r="BF26" s="76">
        <v>0.53611111111111232</v>
      </c>
      <c r="BG26" s="75" t="s">
        <v>149</v>
      </c>
      <c r="BH26" s="75" t="s">
        <v>138</v>
      </c>
      <c r="BI26" s="75" t="s">
        <v>132</v>
      </c>
      <c r="BJ26" s="70">
        <v>70</v>
      </c>
      <c r="BK26" s="70">
        <v>0</v>
      </c>
      <c r="BL26" s="70">
        <v>0</v>
      </c>
      <c r="BM26" s="70">
        <v>64.099999999999994</v>
      </c>
      <c r="BN26" s="70">
        <v>60.5</v>
      </c>
      <c r="BO26" s="70">
        <v>7.69</v>
      </c>
      <c r="BP26" s="70">
        <v>7.35</v>
      </c>
      <c r="BQ26" s="70">
        <v>0</v>
      </c>
      <c r="BR26" s="70">
        <v>0</v>
      </c>
      <c r="BS26" s="70">
        <v>0</v>
      </c>
      <c r="BT26" s="70">
        <v>0</v>
      </c>
      <c r="BU26" s="70">
        <v>0</v>
      </c>
      <c r="BV26" s="70">
        <v>0</v>
      </c>
      <c r="BW26" s="70">
        <v>58.3</v>
      </c>
      <c r="BX26" s="70">
        <v>57.8</v>
      </c>
      <c r="BY26" s="70">
        <v>38.799999999999997</v>
      </c>
      <c r="BZ26" s="70">
        <v>38.299999999999997</v>
      </c>
      <c r="CA26" s="70">
        <v>7.4</v>
      </c>
      <c r="CB26" s="70">
        <v>7.3</v>
      </c>
    </row>
    <row r="27" spans="1:81" x14ac:dyDescent="0.25">
      <c r="A27" s="8">
        <v>44855</v>
      </c>
      <c r="B27" s="3" t="s">
        <v>18</v>
      </c>
      <c r="C27" s="3" t="s">
        <v>10</v>
      </c>
      <c r="D27" s="4">
        <v>9.8000000000000007</v>
      </c>
      <c r="E27" s="4">
        <v>92.2</v>
      </c>
      <c r="F27" s="4">
        <v>10.45</v>
      </c>
      <c r="G27" s="4">
        <v>77</v>
      </c>
      <c r="H27" s="4">
        <v>108.5</v>
      </c>
      <c r="I27" s="4">
        <v>0.1</v>
      </c>
      <c r="J27" s="3">
        <v>12.7</v>
      </c>
      <c r="L27" s="61">
        <v>44137</v>
      </c>
      <c r="M27" s="60" t="s">
        <v>63</v>
      </c>
      <c r="N27" s="60" t="s">
        <v>136</v>
      </c>
      <c r="O27" s="64">
        <v>0.44722222222222219</v>
      </c>
      <c r="P27" s="64">
        <v>0.47638888888888892</v>
      </c>
      <c r="Q27" s="60" t="s">
        <v>125</v>
      </c>
      <c r="R27" s="60" t="s">
        <v>126</v>
      </c>
      <c r="S27" s="60" t="s">
        <v>127</v>
      </c>
      <c r="T27" s="60">
        <v>80</v>
      </c>
      <c r="U27" s="60"/>
      <c r="V27" s="60"/>
      <c r="W27" s="60">
        <v>96.8</v>
      </c>
      <c r="X27" s="60">
        <v>96.9</v>
      </c>
      <c r="Y27" s="60">
        <v>11.54</v>
      </c>
      <c r="Z27" s="60">
        <v>11.57</v>
      </c>
      <c r="AA27" s="66"/>
      <c r="AB27" s="66"/>
      <c r="AC27" s="60"/>
      <c r="AD27" s="60"/>
      <c r="AE27" s="60">
        <v>0.1</v>
      </c>
      <c r="AF27" s="60">
        <v>0.1</v>
      </c>
      <c r="AG27" s="60">
        <v>83.6</v>
      </c>
      <c r="AH27" s="60">
        <v>83.6</v>
      </c>
      <c r="AI27" s="60">
        <v>124.8</v>
      </c>
      <c r="AJ27" s="60">
        <v>124.8</v>
      </c>
      <c r="AK27" s="60">
        <v>7.7</v>
      </c>
      <c r="AL27" s="60">
        <v>7.7</v>
      </c>
      <c r="AM27" s="60" t="s">
        <v>143</v>
      </c>
      <c r="AN27" s="60" t="s">
        <v>128</v>
      </c>
      <c r="AO27" s="60" t="s">
        <v>129</v>
      </c>
      <c r="AQ27" s="69">
        <v>43740</v>
      </c>
      <c r="AR27" s="71" t="s">
        <v>41</v>
      </c>
      <c r="AS27" s="71" t="s">
        <v>124</v>
      </c>
      <c r="AT27" s="72">
        <v>0.64930555555555558</v>
      </c>
      <c r="AU27" s="72">
        <v>0.66249999999999998</v>
      </c>
      <c r="AV27" s="71" t="s">
        <v>160</v>
      </c>
      <c r="AW27" s="71" t="s">
        <v>138</v>
      </c>
      <c r="AX27" s="71" t="s">
        <v>133</v>
      </c>
      <c r="AY27" s="71">
        <v>95</v>
      </c>
      <c r="AZ27" s="68"/>
      <c r="BB27" s="74">
        <v>43055</v>
      </c>
      <c r="BC27" s="75" t="s">
        <v>40</v>
      </c>
      <c r="BD27" s="75" t="s">
        <v>174</v>
      </c>
      <c r="BE27" s="76">
        <v>0.56041666666666801</v>
      </c>
      <c r="BF27" s="76">
        <v>0.57916666666666805</v>
      </c>
      <c r="BG27" s="75" t="s">
        <v>149</v>
      </c>
      <c r="BH27" s="75" t="s">
        <v>138</v>
      </c>
      <c r="BI27" s="75" t="s">
        <v>132</v>
      </c>
      <c r="BJ27" s="70">
        <v>70</v>
      </c>
      <c r="BK27" s="70">
        <v>0</v>
      </c>
      <c r="BL27" s="70">
        <v>0</v>
      </c>
      <c r="BM27" s="70">
        <v>90.4</v>
      </c>
      <c r="BN27" s="70">
        <v>88.5</v>
      </c>
      <c r="BO27" s="70">
        <v>10.7</v>
      </c>
      <c r="BP27" s="70">
        <v>10.52</v>
      </c>
      <c r="BQ27" s="70">
        <v>0</v>
      </c>
      <c r="BR27" s="70">
        <v>0</v>
      </c>
      <c r="BS27" s="70">
        <v>0</v>
      </c>
      <c r="BT27" s="70">
        <v>0</v>
      </c>
      <c r="BU27" s="70">
        <v>0.1</v>
      </c>
      <c r="BV27" s="70">
        <v>0.1</v>
      </c>
      <c r="BW27" s="70">
        <v>118.3</v>
      </c>
      <c r="BX27" s="70">
        <v>118.5</v>
      </c>
      <c r="BY27" s="70">
        <v>79.5</v>
      </c>
      <c r="BZ27" s="70">
        <v>79.5</v>
      </c>
      <c r="CA27" s="70">
        <v>7.8</v>
      </c>
      <c r="CB27" s="70">
        <v>7.8</v>
      </c>
    </row>
    <row r="28" spans="1:81" x14ac:dyDescent="0.25">
      <c r="A28" s="8">
        <v>44862</v>
      </c>
      <c r="B28" s="3" t="s">
        <v>18</v>
      </c>
      <c r="C28" s="3" t="s">
        <v>14</v>
      </c>
      <c r="D28" s="4">
        <v>9.8000000000000007</v>
      </c>
      <c r="E28" s="4">
        <v>93.3</v>
      </c>
      <c r="F28" s="4">
        <v>10.61</v>
      </c>
      <c r="G28" s="4">
        <v>77</v>
      </c>
      <c r="H28" s="4">
        <v>108.7</v>
      </c>
      <c r="I28" s="4">
        <v>0.1</v>
      </c>
      <c r="J28" s="3">
        <v>11.1</v>
      </c>
      <c r="L28" s="57">
        <v>44137</v>
      </c>
      <c r="M28" s="58" t="s">
        <v>41</v>
      </c>
      <c r="N28" s="58" t="s">
        <v>136</v>
      </c>
      <c r="O28" s="63">
        <v>0.53263888888888888</v>
      </c>
      <c r="P28" s="63">
        <v>0.5395833333333333</v>
      </c>
      <c r="Q28" s="58" t="s">
        <v>125</v>
      </c>
      <c r="R28" s="58" t="s">
        <v>126</v>
      </c>
      <c r="S28" s="58" t="s">
        <v>133</v>
      </c>
      <c r="T28" s="58">
        <v>80</v>
      </c>
      <c r="U28" s="58"/>
      <c r="V28" s="58"/>
      <c r="W28" s="58">
        <v>99.8</v>
      </c>
      <c r="X28" s="58">
        <v>101.1</v>
      </c>
      <c r="Y28" s="58">
        <v>12.11</v>
      </c>
      <c r="Z28" s="58">
        <v>12.24</v>
      </c>
      <c r="AA28" s="65"/>
      <c r="AB28" s="65"/>
      <c r="AC28" s="58"/>
      <c r="AD28" s="58"/>
      <c r="AE28" s="58">
        <v>0.1</v>
      </c>
      <c r="AF28" s="58">
        <v>0.1</v>
      </c>
      <c r="AG28" s="58">
        <v>101.1</v>
      </c>
      <c r="AH28" s="58">
        <v>101.1</v>
      </c>
      <c r="AI28" s="58">
        <v>155.19999999999999</v>
      </c>
      <c r="AJ28" s="58">
        <v>155.4</v>
      </c>
      <c r="AK28" s="58">
        <v>6.9</v>
      </c>
      <c r="AL28" s="58">
        <v>6.7</v>
      </c>
      <c r="AM28" s="58"/>
      <c r="AN28" s="58" t="s">
        <v>128</v>
      </c>
      <c r="AO28" s="58" t="s">
        <v>129</v>
      </c>
      <c r="AQ28" s="69">
        <v>43747</v>
      </c>
      <c r="AR28" s="71" t="s">
        <v>49</v>
      </c>
      <c r="AS28" s="71" t="s">
        <v>124</v>
      </c>
      <c r="AT28" s="72">
        <v>0.52430555555555558</v>
      </c>
      <c r="AU28" s="72">
        <v>0.54861111111111105</v>
      </c>
      <c r="AV28" s="71" t="s">
        <v>160</v>
      </c>
      <c r="AW28" s="71" t="s">
        <v>126</v>
      </c>
      <c r="AX28" s="71" t="s">
        <v>127</v>
      </c>
      <c r="AY28" s="71">
        <v>90</v>
      </c>
      <c r="AZ28" s="68"/>
      <c r="BB28" s="74">
        <v>43060</v>
      </c>
      <c r="BC28" s="75" t="s">
        <v>175</v>
      </c>
      <c r="BD28" s="75" t="s">
        <v>176</v>
      </c>
      <c r="BE28" s="76">
        <v>0.50069444444444566</v>
      </c>
      <c r="BF28" s="76">
        <v>0.54861111111111238</v>
      </c>
      <c r="BG28" s="75" t="s">
        <v>177</v>
      </c>
      <c r="BH28" s="75" t="s">
        <v>138</v>
      </c>
      <c r="BI28" s="75" t="s">
        <v>178</v>
      </c>
      <c r="BK28" s="70">
        <v>0</v>
      </c>
      <c r="BL28" s="70">
        <v>0</v>
      </c>
      <c r="BM28" s="70">
        <v>89.1</v>
      </c>
      <c r="BN28" s="70">
        <v>88.6</v>
      </c>
      <c r="BO28" s="70">
        <v>10.58</v>
      </c>
      <c r="BP28" s="70">
        <v>10.54</v>
      </c>
      <c r="BQ28" s="70">
        <v>0</v>
      </c>
      <c r="BR28" s="70">
        <v>0</v>
      </c>
      <c r="BS28" s="70">
        <v>0</v>
      </c>
      <c r="BT28" s="70">
        <v>0</v>
      </c>
      <c r="BU28" s="70">
        <v>0</v>
      </c>
      <c r="BV28" s="70">
        <v>0</v>
      </c>
      <c r="BW28" s="70">
        <v>47.9</v>
      </c>
      <c r="BX28" s="70">
        <v>47.8</v>
      </c>
      <c r="BY28" s="70">
        <v>32.200000000000003</v>
      </c>
      <c r="BZ28" s="70">
        <v>32.200000000000003</v>
      </c>
      <c r="CA28" s="70">
        <v>7.9</v>
      </c>
      <c r="CB28" s="70">
        <v>7.8</v>
      </c>
      <c r="CC28" s="75" t="s">
        <v>179</v>
      </c>
    </row>
    <row r="29" spans="1:81" x14ac:dyDescent="0.25">
      <c r="A29" s="8">
        <v>44862</v>
      </c>
      <c r="B29" s="3" t="s">
        <v>18</v>
      </c>
      <c r="C29" s="3" t="s">
        <v>14</v>
      </c>
      <c r="D29" s="4">
        <v>9.6999999999999993</v>
      </c>
      <c r="E29" s="4">
        <v>92.8</v>
      </c>
      <c r="F29" s="4">
        <v>10.54</v>
      </c>
      <c r="G29" s="4">
        <v>76.900000000000006</v>
      </c>
      <c r="H29" s="4">
        <v>108.7</v>
      </c>
      <c r="I29" s="4">
        <v>0.1</v>
      </c>
      <c r="J29" s="3">
        <v>11.1</v>
      </c>
      <c r="L29" s="61">
        <v>44138</v>
      </c>
      <c r="M29" s="60" t="s">
        <v>42</v>
      </c>
      <c r="N29" s="60" t="s">
        <v>136</v>
      </c>
      <c r="O29" s="64">
        <v>0.61111111111111105</v>
      </c>
      <c r="P29" s="64">
        <v>0.64583333333333337</v>
      </c>
      <c r="Q29" s="60" t="s">
        <v>125</v>
      </c>
      <c r="R29" s="60" t="s">
        <v>126</v>
      </c>
      <c r="S29" s="60" t="s">
        <v>127</v>
      </c>
      <c r="T29" s="60">
        <v>80</v>
      </c>
      <c r="U29" s="60"/>
      <c r="V29" s="60"/>
      <c r="W29" s="60">
        <v>68.5</v>
      </c>
      <c r="X29" s="60">
        <v>68.900000000000006</v>
      </c>
      <c r="Y29" s="60">
        <v>7.8</v>
      </c>
      <c r="Z29" s="60">
        <v>7.8</v>
      </c>
      <c r="AA29" s="66"/>
      <c r="AB29" s="66"/>
      <c r="AC29" s="60"/>
      <c r="AD29" s="60"/>
      <c r="AE29" s="60">
        <v>0.1</v>
      </c>
      <c r="AF29" s="60">
        <v>0.1</v>
      </c>
      <c r="AG29" s="60">
        <v>102.7</v>
      </c>
      <c r="AH29" s="60">
        <v>102.8</v>
      </c>
      <c r="AI29" s="60">
        <v>143.69999999999999</v>
      </c>
      <c r="AJ29" s="60">
        <v>143.69999999999999</v>
      </c>
      <c r="AK29" s="60">
        <v>10.1</v>
      </c>
      <c r="AL29" s="60">
        <v>10.1</v>
      </c>
      <c r="AM29" s="60"/>
      <c r="AN29" s="60" t="s">
        <v>128</v>
      </c>
      <c r="AO29" s="60" t="s">
        <v>129</v>
      </c>
      <c r="AQ29" s="69">
        <v>43747</v>
      </c>
      <c r="AR29" s="71" t="s">
        <v>162</v>
      </c>
      <c r="AS29" s="71" t="s">
        <v>124</v>
      </c>
      <c r="AT29" s="72">
        <v>0.54861111111111105</v>
      </c>
      <c r="AU29" s="72">
        <v>0.58472222222222225</v>
      </c>
      <c r="AV29" s="71" t="s">
        <v>160</v>
      </c>
      <c r="AW29" s="71" t="s">
        <v>126</v>
      </c>
      <c r="AX29" s="71" t="s">
        <v>127</v>
      </c>
      <c r="AY29" s="71">
        <v>90</v>
      </c>
      <c r="AZ29" s="68"/>
      <c r="BB29" s="74">
        <v>43061</v>
      </c>
      <c r="BC29" s="75" t="s">
        <v>30</v>
      </c>
      <c r="BD29" s="75" t="s">
        <v>180</v>
      </c>
      <c r="BE29" s="76">
        <v>0.56388888888889022</v>
      </c>
      <c r="BF29" s="76">
        <v>0.57569444444444573</v>
      </c>
      <c r="BG29" s="75" t="s">
        <v>149</v>
      </c>
      <c r="BH29" s="75" t="s">
        <v>126</v>
      </c>
      <c r="BI29" s="75" t="s">
        <v>178</v>
      </c>
      <c r="BJ29" s="70">
        <v>40</v>
      </c>
      <c r="BK29" s="70">
        <v>13.8</v>
      </c>
      <c r="BL29" s="70">
        <v>13.8</v>
      </c>
      <c r="BM29" s="70">
        <v>74.2</v>
      </c>
      <c r="BN29" s="70">
        <v>71.8</v>
      </c>
      <c r="BO29" s="70">
        <v>8.24</v>
      </c>
      <c r="BP29" s="70">
        <v>8.11</v>
      </c>
      <c r="BQ29" s="70">
        <v>0</v>
      </c>
      <c r="BR29" s="70">
        <v>0</v>
      </c>
      <c r="BS29" s="70">
        <v>0</v>
      </c>
      <c r="BT29" s="70">
        <v>0</v>
      </c>
      <c r="BU29" s="70">
        <v>0.1</v>
      </c>
      <c r="BV29" s="70">
        <v>0.1</v>
      </c>
      <c r="BW29" s="70">
        <v>123.7</v>
      </c>
      <c r="BX29" s="70">
        <v>123.4</v>
      </c>
      <c r="BY29" s="70">
        <v>88.6</v>
      </c>
      <c r="BZ29" s="70">
        <v>88.2</v>
      </c>
      <c r="CA29" s="70">
        <v>10.199999999999999</v>
      </c>
      <c r="CB29" s="70">
        <v>10.1</v>
      </c>
      <c r="CC29" s="75" t="s">
        <v>181</v>
      </c>
    </row>
    <row r="30" spans="1:81" x14ac:dyDescent="0.25">
      <c r="A30" s="8">
        <v>44874</v>
      </c>
      <c r="B30" s="3" t="s">
        <v>18</v>
      </c>
      <c r="C30" s="3" t="s">
        <v>19</v>
      </c>
      <c r="D30" s="4">
        <v>7.5</v>
      </c>
      <c r="E30" s="4">
        <v>91.5</v>
      </c>
      <c r="F30" s="4">
        <v>10.96</v>
      </c>
      <c r="G30" s="3">
        <v>42.7</v>
      </c>
      <c r="H30" s="4">
        <v>60.4</v>
      </c>
      <c r="I30" s="4">
        <v>0.1</v>
      </c>
      <c r="J30" s="3">
        <v>8.8000000000000007</v>
      </c>
      <c r="L30" s="57">
        <v>44138</v>
      </c>
      <c r="M30" s="58" t="s">
        <v>83</v>
      </c>
      <c r="N30" s="58" t="s">
        <v>136</v>
      </c>
      <c r="O30" s="63">
        <v>0.65833333333333333</v>
      </c>
      <c r="P30" s="63">
        <v>0.66180555555555554</v>
      </c>
      <c r="Q30" s="58" t="s">
        <v>125</v>
      </c>
      <c r="R30" s="58" t="s">
        <v>126</v>
      </c>
      <c r="S30" s="58" t="s">
        <v>127</v>
      </c>
      <c r="T30" s="58">
        <v>90</v>
      </c>
      <c r="U30" s="58"/>
      <c r="V30" s="58"/>
      <c r="W30" s="58">
        <v>94.2</v>
      </c>
      <c r="X30" s="58">
        <v>93.2</v>
      </c>
      <c r="Y30" s="58">
        <v>10.5</v>
      </c>
      <c r="Z30" s="58">
        <v>10.43</v>
      </c>
      <c r="AA30" s="65"/>
      <c r="AB30" s="65"/>
      <c r="AC30" s="58"/>
      <c r="AD30" s="58"/>
      <c r="AE30" s="58">
        <v>0.1</v>
      </c>
      <c r="AF30" s="58">
        <v>0.1</v>
      </c>
      <c r="AG30" s="58">
        <v>175.9</v>
      </c>
      <c r="AH30" s="58">
        <v>175.4</v>
      </c>
      <c r="AI30" s="58">
        <v>243.6</v>
      </c>
      <c r="AJ30" s="58">
        <v>243.4</v>
      </c>
      <c r="AK30" s="58">
        <v>10.5</v>
      </c>
      <c r="AL30" s="58">
        <v>10.5</v>
      </c>
      <c r="AM30" s="58"/>
      <c r="AN30" s="58" t="s">
        <v>128</v>
      </c>
      <c r="AO30" s="58" t="s">
        <v>129</v>
      </c>
      <c r="AQ30" s="69">
        <v>43747</v>
      </c>
      <c r="AR30" s="71" t="s">
        <v>30</v>
      </c>
      <c r="AS30" s="71" t="s">
        <v>124</v>
      </c>
      <c r="AT30" s="72">
        <v>0.63541666666666663</v>
      </c>
      <c r="AU30" s="72">
        <v>0.64930555555555558</v>
      </c>
      <c r="AV30" s="71" t="s">
        <v>160</v>
      </c>
      <c r="AW30" s="71" t="s">
        <v>126</v>
      </c>
      <c r="AX30" s="71" t="s">
        <v>163</v>
      </c>
      <c r="AY30" s="71">
        <v>75</v>
      </c>
      <c r="AZ30" s="68"/>
      <c r="BB30" s="74">
        <v>43061</v>
      </c>
      <c r="BC30" s="75" t="s">
        <v>41</v>
      </c>
      <c r="BD30" s="75" t="s">
        <v>182</v>
      </c>
      <c r="BE30" s="76">
        <v>0.60763888888889028</v>
      </c>
      <c r="BF30" s="76">
        <v>0.62152777777777923</v>
      </c>
      <c r="BG30" s="75" t="s">
        <v>177</v>
      </c>
      <c r="BH30" s="75" t="s">
        <v>126</v>
      </c>
      <c r="BI30" s="75" t="s">
        <v>132</v>
      </c>
      <c r="BJ30" s="70">
        <v>30</v>
      </c>
      <c r="BK30" s="70">
        <v>13.8</v>
      </c>
      <c r="BL30" s="70">
        <v>13.8</v>
      </c>
      <c r="BM30" s="70">
        <v>89.8</v>
      </c>
      <c r="BN30" s="70">
        <v>89.1</v>
      </c>
      <c r="BO30" s="70">
        <v>10.24</v>
      </c>
      <c r="BP30" s="70">
        <v>0</v>
      </c>
      <c r="BQ30" s="70">
        <v>0</v>
      </c>
      <c r="BR30" s="70">
        <v>0</v>
      </c>
      <c r="BS30" s="70">
        <v>0</v>
      </c>
      <c r="BT30" s="70">
        <v>0</v>
      </c>
      <c r="BU30" s="70">
        <v>0.1</v>
      </c>
      <c r="BV30" s="70">
        <v>0.1</v>
      </c>
      <c r="BW30" s="70">
        <v>112.3</v>
      </c>
      <c r="BX30" s="70">
        <v>112.2</v>
      </c>
      <c r="BY30" s="70">
        <v>78.7</v>
      </c>
      <c r="BZ30" s="70">
        <v>78.599999999999994</v>
      </c>
      <c r="CA30" s="70">
        <v>9.4</v>
      </c>
      <c r="CB30" s="70">
        <v>9.4</v>
      </c>
      <c r="CC30" s="75" t="s">
        <v>183</v>
      </c>
    </row>
    <row r="31" spans="1:81" x14ac:dyDescent="0.25">
      <c r="A31" s="8">
        <v>44874</v>
      </c>
      <c r="B31" s="3" t="s">
        <v>18</v>
      </c>
      <c r="C31" s="3" t="s">
        <v>19</v>
      </c>
      <c r="D31" s="4">
        <v>7.5</v>
      </c>
      <c r="E31" s="4">
        <v>91.1</v>
      </c>
      <c r="F31" s="4">
        <v>10.92</v>
      </c>
      <c r="G31" s="3">
        <v>71.5</v>
      </c>
      <c r="H31" s="4">
        <v>107.5</v>
      </c>
      <c r="I31" s="4">
        <v>0.1</v>
      </c>
      <c r="J31" s="3">
        <v>8.8000000000000007</v>
      </c>
      <c r="L31" s="61">
        <v>44140</v>
      </c>
      <c r="M31" s="60" t="s">
        <v>40</v>
      </c>
      <c r="N31" s="60" t="s">
        <v>136</v>
      </c>
      <c r="O31" s="64">
        <v>0.44375000000000003</v>
      </c>
      <c r="P31" s="64">
        <v>0.45833333333333331</v>
      </c>
      <c r="Q31" s="60" t="s">
        <v>130</v>
      </c>
      <c r="R31" s="60" t="s">
        <v>126</v>
      </c>
      <c r="S31" s="60" t="s">
        <v>127</v>
      </c>
      <c r="T31" s="60">
        <v>70</v>
      </c>
      <c r="U31" s="60"/>
      <c r="V31" s="60"/>
      <c r="W31" s="60">
        <v>65.599999999999994</v>
      </c>
      <c r="X31" s="60">
        <v>65</v>
      </c>
      <c r="Y31" s="60">
        <v>7.25</v>
      </c>
      <c r="Z31" s="60">
        <v>7.21</v>
      </c>
      <c r="AA31" s="66"/>
      <c r="AB31" s="66"/>
      <c r="AC31" s="60"/>
      <c r="AD31" s="60"/>
      <c r="AE31" s="60">
        <v>0.1</v>
      </c>
      <c r="AF31" s="60">
        <v>0.1</v>
      </c>
      <c r="AG31" s="60">
        <v>119.8</v>
      </c>
      <c r="AH31" s="60">
        <v>119.8</v>
      </c>
      <c r="AI31" s="60">
        <v>164.5</v>
      </c>
      <c r="AJ31" s="60">
        <v>164.5</v>
      </c>
      <c r="AK31" s="60">
        <v>10.8</v>
      </c>
      <c r="AL31" s="60">
        <v>10.8</v>
      </c>
      <c r="AM31" s="60"/>
      <c r="AN31" s="60" t="s">
        <v>128</v>
      </c>
      <c r="AO31" s="60" t="s">
        <v>129</v>
      </c>
      <c r="AQ31" s="69">
        <v>43748</v>
      </c>
      <c r="AR31" s="71" t="s">
        <v>40</v>
      </c>
      <c r="AS31" s="71" t="s">
        <v>124</v>
      </c>
      <c r="AT31" s="72">
        <v>0.43541666666666662</v>
      </c>
      <c r="AU31" s="72">
        <v>0.45555555555555555</v>
      </c>
      <c r="AV31" s="71" t="s">
        <v>160</v>
      </c>
      <c r="AW31" s="71" t="s">
        <v>126</v>
      </c>
      <c r="AX31" s="71" t="s">
        <v>163</v>
      </c>
      <c r="AY31" s="71">
        <v>85</v>
      </c>
      <c r="AZ31" s="68"/>
      <c r="BB31" s="74">
        <v>43068</v>
      </c>
      <c r="BC31" s="75" t="s">
        <v>34</v>
      </c>
      <c r="BD31" s="75" t="s">
        <v>184</v>
      </c>
      <c r="BE31" s="76">
        <v>0.43472222222222323</v>
      </c>
      <c r="BF31" s="76">
        <v>0.44305555555555659</v>
      </c>
      <c r="BG31" s="75" t="s">
        <v>130</v>
      </c>
      <c r="BH31" s="75" t="s">
        <v>138</v>
      </c>
      <c r="BI31" s="75" t="s">
        <v>127</v>
      </c>
      <c r="BJ31" s="70">
        <v>80</v>
      </c>
      <c r="BK31" s="70">
        <v>0</v>
      </c>
      <c r="BL31" s="70">
        <v>0</v>
      </c>
      <c r="BM31" s="70">
        <v>94.5</v>
      </c>
      <c r="BN31" s="70">
        <v>92.7</v>
      </c>
      <c r="BO31" s="70">
        <v>11.06</v>
      </c>
      <c r="BP31" s="70">
        <v>10.89</v>
      </c>
      <c r="BQ31" s="70">
        <v>0</v>
      </c>
      <c r="BR31" s="70">
        <v>0</v>
      </c>
      <c r="BS31" s="70">
        <v>0</v>
      </c>
      <c r="BT31" s="70">
        <v>0</v>
      </c>
      <c r="BU31" s="70">
        <v>0</v>
      </c>
      <c r="BV31" s="70">
        <v>0</v>
      </c>
      <c r="BW31" s="70">
        <v>75.400000000000006</v>
      </c>
      <c r="BX31" s="70">
        <v>77.400000000000006</v>
      </c>
      <c r="BY31" s="70">
        <v>51.3</v>
      </c>
      <c r="BZ31" s="70">
        <v>51.2</v>
      </c>
      <c r="CA31" s="70">
        <v>8.4</v>
      </c>
      <c r="CB31" s="70">
        <v>8.3000000000000007</v>
      </c>
    </row>
    <row r="32" spans="1:81" x14ac:dyDescent="0.25">
      <c r="A32" s="8">
        <v>44886</v>
      </c>
      <c r="B32" s="3" t="s">
        <v>18</v>
      </c>
      <c r="C32" s="3" t="s">
        <v>20</v>
      </c>
      <c r="D32" s="4">
        <v>7.9</v>
      </c>
      <c r="E32" s="4">
        <v>117</v>
      </c>
      <c r="F32" s="4">
        <v>13.87</v>
      </c>
      <c r="G32" s="4">
        <v>72.7</v>
      </c>
      <c r="H32" s="4">
        <v>108.1</v>
      </c>
      <c r="I32" s="4">
        <v>0.1</v>
      </c>
      <c r="J32" s="3">
        <v>6.6</v>
      </c>
      <c r="L32" s="57">
        <v>44140</v>
      </c>
      <c r="M32" s="58" t="s">
        <v>34</v>
      </c>
      <c r="N32" s="58" t="s">
        <v>136</v>
      </c>
      <c r="O32" s="63">
        <v>0.56666666666666665</v>
      </c>
      <c r="P32" s="63">
        <v>0.57291666666666663</v>
      </c>
      <c r="Q32" s="58" t="s">
        <v>130</v>
      </c>
      <c r="R32" s="58" t="s">
        <v>138</v>
      </c>
      <c r="S32" s="58" t="s">
        <v>133</v>
      </c>
      <c r="T32" s="58">
        <v>80</v>
      </c>
      <c r="U32" s="58"/>
      <c r="V32" s="58"/>
      <c r="W32" s="58">
        <v>93.8</v>
      </c>
      <c r="X32" s="58">
        <v>93.1</v>
      </c>
      <c r="Y32" s="58">
        <v>10.59</v>
      </c>
      <c r="Z32" s="58">
        <v>10.52</v>
      </c>
      <c r="AA32" s="65"/>
      <c r="AB32" s="65"/>
      <c r="AC32" s="58"/>
      <c r="AD32" s="58"/>
      <c r="AE32" s="58">
        <v>0</v>
      </c>
      <c r="AF32" s="58">
        <v>0</v>
      </c>
      <c r="AG32" s="58">
        <v>66.900000000000006</v>
      </c>
      <c r="AH32" s="58">
        <v>66.900000000000006</v>
      </c>
      <c r="AI32" s="58">
        <v>94.1</v>
      </c>
      <c r="AJ32" s="58">
        <v>94.2</v>
      </c>
      <c r="AK32" s="58">
        <v>9.9</v>
      </c>
      <c r="AL32" s="58">
        <v>9.9</v>
      </c>
      <c r="AM32" s="58" t="s">
        <v>144</v>
      </c>
      <c r="AN32" s="58" t="s">
        <v>128</v>
      </c>
      <c r="AO32" s="58" t="s">
        <v>129</v>
      </c>
      <c r="AQ32" s="69">
        <v>43748</v>
      </c>
      <c r="AR32" s="71" t="s">
        <v>41</v>
      </c>
      <c r="AS32" s="71" t="s">
        <v>124</v>
      </c>
      <c r="AT32" s="72">
        <v>0.4861111111111111</v>
      </c>
      <c r="AU32" s="72">
        <v>0.5</v>
      </c>
      <c r="AV32" s="71" t="s">
        <v>160</v>
      </c>
      <c r="AW32" s="71" t="s">
        <v>126</v>
      </c>
      <c r="AX32" s="71" t="s">
        <v>127</v>
      </c>
      <c r="AY32" s="71">
        <v>90</v>
      </c>
      <c r="AZ32" s="68"/>
      <c r="BB32" s="74">
        <v>43068</v>
      </c>
      <c r="BC32" s="75" t="s">
        <v>173</v>
      </c>
      <c r="BD32" s="75" t="s">
        <v>184</v>
      </c>
      <c r="BE32" s="76">
        <v>0.44791666666666768</v>
      </c>
      <c r="BF32" s="76">
        <v>0.45486111111111216</v>
      </c>
      <c r="BG32" s="75" t="s">
        <v>130</v>
      </c>
      <c r="BH32" s="75" t="s">
        <v>138</v>
      </c>
      <c r="BI32" s="75" t="s">
        <v>127</v>
      </c>
      <c r="BJ32" s="70">
        <v>90</v>
      </c>
      <c r="BK32" s="70">
        <v>0</v>
      </c>
      <c r="BL32" s="70">
        <v>0</v>
      </c>
      <c r="BM32" s="70">
        <v>0</v>
      </c>
      <c r="BN32" s="70">
        <v>0</v>
      </c>
      <c r="BO32" s="70">
        <v>0</v>
      </c>
      <c r="BP32" s="70">
        <v>0</v>
      </c>
      <c r="BQ32" s="70">
        <v>0</v>
      </c>
      <c r="BR32" s="70">
        <v>0</v>
      </c>
      <c r="BS32" s="70">
        <v>0</v>
      </c>
      <c r="BT32" s="70">
        <v>0</v>
      </c>
      <c r="BU32" s="70">
        <v>0</v>
      </c>
      <c r="BV32" s="70">
        <v>0</v>
      </c>
      <c r="BW32" s="70">
        <v>0</v>
      </c>
      <c r="BX32" s="70">
        <v>0</v>
      </c>
      <c r="BY32" s="70">
        <v>0</v>
      </c>
      <c r="BZ32" s="70">
        <v>0</v>
      </c>
      <c r="CA32" s="70">
        <v>0</v>
      </c>
      <c r="CB32" s="70">
        <v>0</v>
      </c>
    </row>
    <row r="33" spans="1:81" x14ac:dyDescent="0.25">
      <c r="A33" s="8">
        <v>44886</v>
      </c>
      <c r="B33" s="3" t="s">
        <v>18</v>
      </c>
      <c r="C33" s="3" t="s">
        <v>20</v>
      </c>
      <c r="D33" s="4">
        <v>7.8</v>
      </c>
      <c r="E33" s="4">
        <v>115.8</v>
      </c>
      <c r="F33" s="4">
        <v>13.77</v>
      </c>
      <c r="G33" s="4">
        <v>72.7</v>
      </c>
      <c r="H33" s="4">
        <v>108.2</v>
      </c>
      <c r="I33" s="4">
        <v>0.1</v>
      </c>
      <c r="J33" s="3">
        <v>6.6</v>
      </c>
      <c r="L33" s="61">
        <v>44140</v>
      </c>
      <c r="M33" s="60" t="s">
        <v>18</v>
      </c>
      <c r="N33" s="60" t="s">
        <v>136</v>
      </c>
      <c r="O33" s="64">
        <v>0.60416666666666663</v>
      </c>
      <c r="P33" s="64">
        <v>0.62916666666666665</v>
      </c>
      <c r="Q33" s="60" t="s">
        <v>125</v>
      </c>
      <c r="R33" s="60" t="s">
        <v>126</v>
      </c>
      <c r="S33" s="60" t="s">
        <v>127</v>
      </c>
      <c r="T33" s="60">
        <v>70</v>
      </c>
      <c r="U33" s="60"/>
      <c r="V33" s="60"/>
      <c r="W33" s="60">
        <v>93.3</v>
      </c>
      <c r="X33" s="60">
        <v>93.3</v>
      </c>
      <c r="Y33" s="60">
        <v>10.57</v>
      </c>
      <c r="Z33" s="60">
        <v>10.57</v>
      </c>
      <c r="AA33" s="66"/>
      <c r="AB33" s="66"/>
      <c r="AC33" s="60"/>
      <c r="AD33" s="60"/>
      <c r="AE33" s="60">
        <v>0.1</v>
      </c>
      <c r="AF33" s="60">
        <v>0.1</v>
      </c>
      <c r="AG33" s="60">
        <v>75.7</v>
      </c>
      <c r="AH33" s="60">
        <v>75.7</v>
      </c>
      <c r="AI33" s="60">
        <v>106.6</v>
      </c>
      <c r="AJ33" s="60">
        <v>106.6</v>
      </c>
      <c r="AK33" s="60">
        <v>9.8000000000000007</v>
      </c>
      <c r="AL33" s="60">
        <v>9.8000000000000007</v>
      </c>
      <c r="AM33" s="60"/>
      <c r="AN33" s="60" t="s">
        <v>128</v>
      </c>
      <c r="AO33" s="60" t="s">
        <v>129</v>
      </c>
      <c r="AQ33" s="69">
        <v>43748</v>
      </c>
      <c r="AR33" s="71" t="s">
        <v>83</v>
      </c>
      <c r="AS33" s="71" t="s">
        <v>124</v>
      </c>
      <c r="AT33" s="72">
        <v>0.52638888888888891</v>
      </c>
      <c r="AU33" s="72">
        <v>0.53125</v>
      </c>
      <c r="AV33" s="71" t="s">
        <v>160</v>
      </c>
      <c r="AW33" s="71" t="s">
        <v>126</v>
      </c>
      <c r="AX33" s="71" t="s">
        <v>133</v>
      </c>
      <c r="AY33" s="71">
        <v>100</v>
      </c>
      <c r="AZ33" s="68"/>
      <c r="BB33" s="74">
        <v>43068</v>
      </c>
      <c r="BC33" s="75" t="s">
        <v>18</v>
      </c>
      <c r="BD33" s="75" t="s">
        <v>184</v>
      </c>
      <c r="BE33" s="76">
        <v>0.48611111111111222</v>
      </c>
      <c r="BF33" s="76">
        <v>0.54513888888889017</v>
      </c>
      <c r="BG33" s="75" t="s">
        <v>130</v>
      </c>
      <c r="BH33" s="75" t="s">
        <v>138</v>
      </c>
      <c r="BI33" s="75" t="s">
        <v>127</v>
      </c>
      <c r="BJ33" s="70">
        <v>70</v>
      </c>
      <c r="BK33" s="70">
        <v>0</v>
      </c>
      <c r="BL33" s="70">
        <v>0</v>
      </c>
      <c r="BM33" s="70">
        <v>93</v>
      </c>
      <c r="BN33" s="70">
        <v>91.7</v>
      </c>
      <c r="BO33" s="70">
        <v>10.81</v>
      </c>
      <c r="BP33" s="70">
        <v>10.67</v>
      </c>
      <c r="BQ33" s="70">
        <v>0</v>
      </c>
      <c r="BR33" s="70">
        <v>0</v>
      </c>
      <c r="BS33" s="70">
        <v>0</v>
      </c>
      <c r="BT33" s="70">
        <v>0</v>
      </c>
      <c r="BU33" s="70">
        <v>0</v>
      </c>
      <c r="BV33" s="70">
        <v>0</v>
      </c>
      <c r="BW33" s="70">
        <v>86.8</v>
      </c>
      <c r="BX33" s="70">
        <v>86.8</v>
      </c>
      <c r="BY33" s="70">
        <v>59.7</v>
      </c>
      <c r="BZ33" s="70">
        <v>59.7</v>
      </c>
      <c r="CA33" s="70">
        <v>8.6999999999999993</v>
      </c>
      <c r="CB33" s="70">
        <v>8.6</v>
      </c>
      <c r="CC33" s="75" t="s">
        <v>185</v>
      </c>
    </row>
    <row r="34" spans="1:81" x14ac:dyDescent="0.25">
      <c r="A34" s="8">
        <v>44904</v>
      </c>
      <c r="B34" s="3" t="s">
        <v>18</v>
      </c>
      <c r="C34" s="3" t="s">
        <v>21</v>
      </c>
      <c r="D34" s="4">
        <v>6.3</v>
      </c>
      <c r="E34" s="4">
        <v>92.8</v>
      </c>
      <c r="F34" s="4">
        <v>11.51</v>
      </c>
      <c r="G34" s="4">
        <v>61.2</v>
      </c>
      <c r="H34" s="4">
        <v>95.2</v>
      </c>
      <c r="I34" s="4">
        <v>0</v>
      </c>
      <c r="J34" s="3">
        <v>15</v>
      </c>
      <c r="L34" s="57">
        <v>44145</v>
      </c>
      <c r="M34" s="58" t="s">
        <v>42</v>
      </c>
      <c r="N34" s="58" t="s">
        <v>136</v>
      </c>
      <c r="O34" s="63">
        <v>0.43333333333333335</v>
      </c>
      <c r="P34" s="63">
        <v>0.46597222222222223</v>
      </c>
      <c r="Q34" s="58" t="s">
        <v>142</v>
      </c>
      <c r="R34" s="58" t="s">
        <v>126</v>
      </c>
      <c r="S34" s="58" t="s">
        <v>133</v>
      </c>
      <c r="T34" s="58">
        <v>90</v>
      </c>
      <c r="U34" s="58"/>
      <c r="V34" s="58"/>
      <c r="W34" s="58">
        <v>64.099999999999994</v>
      </c>
      <c r="X34" s="58">
        <v>64.900000000000006</v>
      </c>
      <c r="Y34" s="58">
        <v>7.92</v>
      </c>
      <c r="Z34" s="58">
        <v>8.1300000000000008</v>
      </c>
      <c r="AA34" s="65"/>
      <c r="AB34" s="65"/>
      <c r="AC34" s="58"/>
      <c r="AD34" s="58"/>
      <c r="AE34" s="58">
        <v>0.1</v>
      </c>
      <c r="AF34" s="58">
        <v>0.1</v>
      </c>
      <c r="AG34" s="58">
        <v>95.3</v>
      </c>
      <c r="AH34" s="58">
        <v>91</v>
      </c>
      <c r="AI34" s="58">
        <v>146</v>
      </c>
      <c r="AJ34" s="58">
        <v>141</v>
      </c>
      <c r="AK34" s="58">
        <v>6.1</v>
      </c>
      <c r="AL34" s="58">
        <v>6.1</v>
      </c>
      <c r="AM34" s="58"/>
      <c r="AN34" s="58" t="s">
        <v>128</v>
      </c>
      <c r="AO34" s="58" t="s">
        <v>129</v>
      </c>
      <c r="AQ34" s="69">
        <v>43749</v>
      </c>
      <c r="AR34" s="71" t="s">
        <v>34</v>
      </c>
      <c r="AS34" s="71" t="s">
        <v>124</v>
      </c>
      <c r="AT34" s="72">
        <v>0.47916666666666669</v>
      </c>
      <c r="AU34" s="72">
        <v>0.48472222222222222</v>
      </c>
      <c r="AV34" s="71" t="s">
        <v>160</v>
      </c>
      <c r="AW34" s="71" t="s">
        <v>126</v>
      </c>
      <c r="AX34" s="71" t="s">
        <v>133</v>
      </c>
      <c r="AY34" s="71">
        <v>100</v>
      </c>
      <c r="AZ34" s="68"/>
      <c r="BB34" s="74">
        <v>43068</v>
      </c>
      <c r="BC34" s="75" t="s">
        <v>40</v>
      </c>
      <c r="BD34" s="75" t="s">
        <v>184</v>
      </c>
      <c r="BE34" s="76">
        <v>0.60486111111111251</v>
      </c>
      <c r="BF34" s="76">
        <v>0.62013888888889035</v>
      </c>
      <c r="BG34" s="75" t="s">
        <v>130</v>
      </c>
      <c r="BH34" s="75" t="s">
        <v>126</v>
      </c>
      <c r="BI34" s="75" t="s">
        <v>163</v>
      </c>
      <c r="BJ34" s="70">
        <v>60</v>
      </c>
      <c r="BK34" s="70">
        <v>0</v>
      </c>
      <c r="BL34" s="70">
        <v>0</v>
      </c>
      <c r="BM34" s="70">
        <v>84.3</v>
      </c>
      <c r="BN34" s="70">
        <v>83.6</v>
      </c>
      <c r="BO34" s="70">
        <v>9.76</v>
      </c>
      <c r="BP34" s="70">
        <v>9.99</v>
      </c>
      <c r="BQ34" s="70">
        <v>0</v>
      </c>
      <c r="BR34" s="70">
        <v>0</v>
      </c>
      <c r="BS34" s="70">
        <v>0</v>
      </c>
      <c r="BT34" s="70">
        <v>0</v>
      </c>
      <c r="BU34" s="70">
        <v>0.1</v>
      </c>
      <c r="BV34" s="70">
        <v>0.1</v>
      </c>
      <c r="BW34" s="70">
        <v>114.6</v>
      </c>
      <c r="BX34" s="70">
        <v>115</v>
      </c>
      <c r="BY34" s="70">
        <v>77.400000000000006</v>
      </c>
      <c r="BZ34" s="70">
        <v>77.3</v>
      </c>
      <c r="CA34" s="70">
        <v>8</v>
      </c>
      <c r="CB34" s="70">
        <v>7.9</v>
      </c>
    </row>
    <row r="35" spans="1:81" x14ac:dyDescent="0.25">
      <c r="A35" s="8">
        <v>44904</v>
      </c>
      <c r="B35" s="3" t="s">
        <v>18</v>
      </c>
      <c r="C35" s="3" t="s">
        <v>21</v>
      </c>
      <c r="D35" s="4">
        <v>6.3</v>
      </c>
      <c r="E35" s="4">
        <v>92.8</v>
      </c>
      <c r="F35" s="4">
        <v>11.56</v>
      </c>
      <c r="G35" s="4">
        <v>60.9</v>
      </c>
      <c r="H35" s="4">
        <v>94.8</v>
      </c>
      <c r="I35" s="4">
        <v>0</v>
      </c>
      <c r="J35" s="3">
        <v>15</v>
      </c>
      <c r="L35" s="61">
        <v>44145</v>
      </c>
      <c r="M35" s="60" t="s">
        <v>83</v>
      </c>
      <c r="N35" s="60" t="s">
        <v>136</v>
      </c>
      <c r="O35" s="64">
        <v>0.48055555555555557</v>
      </c>
      <c r="P35" s="64">
        <v>0.4826388888888889</v>
      </c>
      <c r="Q35" s="60" t="s">
        <v>125</v>
      </c>
      <c r="R35" s="60" t="s">
        <v>126</v>
      </c>
      <c r="S35" s="60" t="s">
        <v>133</v>
      </c>
      <c r="T35" s="60">
        <v>95</v>
      </c>
      <c r="U35" s="60"/>
      <c r="V35" s="60"/>
      <c r="W35" s="60">
        <v>90</v>
      </c>
      <c r="X35" s="60">
        <v>90.9</v>
      </c>
      <c r="Y35" s="60">
        <v>10.84</v>
      </c>
      <c r="Z35" s="60">
        <v>10.85</v>
      </c>
      <c r="AA35" s="66"/>
      <c r="AB35" s="66"/>
      <c r="AC35" s="60"/>
      <c r="AD35" s="60"/>
      <c r="AE35" s="60">
        <v>0.1</v>
      </c>
      <c r="AF35" s="60">
        <v>0.1</v>
      </c>
      <c r="AG35" s="60">
        <v>163.5</v>
      </c>
      <c r="AH35" s="60">
        <v>163.4</v>
      </c>
      <c r="AI35" s="60">
        <v>244.6</v>
      </c>
      <c r="AJ35" s="60">
        <v>244.6</v>
      </c>
      <c r="AK35" s="60">
        <v>7.6</v>
      </c>
      <c r="AL35" s="60">
        <v>7.6</v>
      </c>
      <c r="AM35" s="60"/>
      <c r="AN35" s="60" t="s">
        <v>128</v>
      </c>
      <c r="AO35" s="60" t="s">
        <v>129</v>
      </c>
      <c r="AQ35" s="69">
        <v>43749</v>
      </c>
      <c r="AR35" s="71" t="s">
        <v>18</v>
      </c>
      <c r="AS35" s="71" t="s">
        <v>124</v>
      </c>
      <c r="AT35" s="72">
        <v>0.53125</v>
      </c>
      <c r="AU35" s="72">
        <v>0.5805555555555556</v>
      </c>
      <c r="AV35" s="71" t="s">
        <v>160</v>
      </c>
      <c r="AW35" s="71" t="s">
        <v>126</v>
      </c>
      <c r="AX35" s="71" t="s">
        <v>127</v>
      </c>
      <c r="AY35" s="71">
        <v>95</v>
      </c>
      <c r="AZ35" s="68"/>
      <c r="BB35" s="74">
        <v>43069</v>
      </c>
      <c r="BC35" s="75" t="s">
        <v>172</v>
      </c>
      <c r="BD35" s="75" t="s">
        <v>186</v>
      </c>
      <c r="BE35" s="76">
        <v>0.44097222222222326</v>
      </c>
      <c r="BF35" s="76">
        <v>0.49444444444444557</v>
      </c>
      <c r="BG35" s="75" t="s">
        <v>149</v>
      </c>
      <c r="BH35" s="75" t="s">
        <v>138</v>
      </c>
      <c r="BI35" s="75" t="s">
        <v>163</v>
      </c>
      <c r="BJ35" s="70">
        <v>50</v>
      </c>
      <c r="BK35" s="70">
        <v>0</v>
      </c>
      <c r="BL35" s="70">
        <v>0</v>
      </c>
      <c r="BM35" s="70">
        <v>90</v>
      </c>
      <c r="BN35" s="70">
        <v>87.8</v>
      </c>
      <c r="BO35" s="70">
        <v>11.37</v>
      </c>
      <c r="BP35" s="70">
        <v>10.58</v>
      </c>
      <c r="BQ35" s="70">
        <v>0</v>
      </c>
      <c r="BR35" s="70">
        <v>0</v>
      </c>
      <c r="BS35" s="70">
        <v>0</v>
      </c>
      <c r="BT35" s="70">
        <v>0</v>
      </c>
      <c r="BU35" s="70">
        <v>0</v>
      </c>
      <c r="BV35" s="70">
        <v>0</v>
      </c>
      <c r="BW35" s="70">
        <v>67.7</v>
      </c>
      <c r="BX35" s="70">
        <v>67.900000000000006</v>
      </c>
      <c r="BY35" s="70">
        <v>45.7</v>
      </c>
      <c r="BZ35" s="70">
        <v>45.7</v>
      </c>
      <c r="CA35" s="70">
        <v>8</v>
      </c>
      <c r="CB35" s="70">
        <v>7.9</v>
      </c>
      <c r="CC35" s="75" t="s">
        <v>187</v>
      </c>
    </row>
    <row r="36" spans="1:81" x14ac:dyDescent="0.25">
      <c r="A36" s="8">
        <v>44911</v>
      </c>
      <c r="B36" s="3" t="s">
        <v>18</v>
      </c>
      <c r="C36" s="3" t="s">
        <v>22</v>
      </c>
      <c r="D36" s="4">
        <v>7.1</v>
      </c>
      <c r="E36" s="4">
        <v>85.1</v>
      </c>
      <c r="F36" s="4">
        <v>10.31</v>
      </c>
      <c r="G36" s="4">
        <v>66.2</v>
      </c>
      <c r="H36" s="4">
        <v>100.9</v>
      </c>
      <c r="I36" s="4">
        <v>0</v>
      </c>
      <c r="J36" s="3">
        <v>3.8</v>
      </c>
      <c r="L36" s="57">
        <v>44146</v>
      </c>
      <c r="M36" s="58" t="s">
        <v>41</v>
      </c>
      <c r="N36" s="58" t="s">
        <v>136</v>
      </c>
      <c r="O36" s="63">
        <v>0.42291666666666666</v>
      </c>
      <c r="P36" s="63">
        <v>0.43402777777777773</v>
      </c>
      <c r="Q36" s="58" t="s">
        <v>125</v>
      </c>
      <c r="R36" s="58" t="s">
        <v>126</v>
      </c>
      <c r="S36" s="58" t="s">
        <v>133</v>
      </c>
      <c r="T36" s="58">
        <v>90</v>
      </c>
      <c r="U36" s="58"/>
      <c r="V36" s="58"/>
      <c r="W36" s="58">
        <v>98.4</v>
      </c>
      <c r="X36" s="58">
        <v>98.6</v>
      </c>
      <c r="Y36" s="58">
        <v>12.59</v>
      </c>
      <c r="Z36" s="58">
        <v>12.62</v>
      </c>
      <c r="AA36" s="65"/>
      <c r="AB36" s="65"/>
      <c r="AC36" s="58"/>
      <c r="AD36" s="58"/>
      <c r="AE36" s="58">
        <v>0.1</v>
      </c>
      <c r="AF36" s="58">
        <v>0.1</v>
      </c>
      <c r="AG36" s="58">
        <v>96.9</v>
      </c>
      <c r="AH36" s="58">
        <v>96.8</v>
      </c>
      <c r="AI36" s="58">
        <v>157.19999999999999</v>
      </c>
      <c r="AJ36" s="58">
        <v>157.69999999999999</v>
      </c>
      <c r="AK36" s="58">
        <v>4.9000000000000004</v>
      </c>
      <c r="AL36" s="58">
        <v>4.9000000000000004</v>
      </c>
      <c r="AM36" s="58"/>
      <c r="AN36" s="58" t="s">
        <v>128</v>
      </c>
      <c r="AO36" s="58" t="s">
        <v>129</v>
      </c>
      <c r="AQ36" s="69">
        <v>43753</v>
      </c>
      <c r="AR36" s="71" t="s">
        <v>40</v>
      </c>
      <c r="AS36" s="71" t="s">
        <v>124</v>
      </c>
      <c r="AT36" s="72">
        <v>0.44097222222222227</v>
      </c>
      <c r="AU36" s="72">
        <v>0.45902777777777781</v>
      </c>
      <c r="AV36" s="71" t="s">
        <v>160</v>
      </c>
      <c r="AW36" s="71" t="s">
        <v>126</v>
      </c>
      <c r="AX36" s="71" t="s">
        <v>127</v>
      </c>
      <c r="AY36" s="71">
        <v>95</v>
      </c>
      <c r="AZ36" s="68"/>
      <c r="BB36" s="74">
        <v>43069</v>
      </c>
      <c r="BC36" s="75" t="s">
        <v>162</v>
      </c>
      <c r="BD36" s="75" t="s">
        <v>186</v>
      </c>
      <c r="BE36" s="76">
        <v>0.50486111111111232</v>
      </c>
      <c r="BF36" s="76">
        <v>0.55486111111111236</v>
      </c>
      <c r="BG36" s="75" t="s">
        <v>149</v>
      </c>
      <c r="BH36" s="75" t="s">
        <v>138</v>
      </c>
      <c r="BI36" s="75" t="s">
        <v>163</v>
      </c>
      <c r="BJ36" s="70">
        <v>50</v>
      </c>
      <c r="BK36" s="70">
        <v>0</v>
      </c>
      <c r="BL36" s="70">
        <v>0</v>
      </c>
      <c r="BM36" s="70">
        <v>96.6</v>
      </c>
      <c r="BN36" s="70">
        <v>88</v>
      </c>
      <c r="BO36" s="70">
        <v>10.5</v>
      </c>
      <c r="BP36" s="70">
        <v>10.4</v>
      </c>
      <c r="BQ36" s="70">
        <v>0</v>
      </c>
      <c r="BR36" s="70">
        <v>0</v>
      </c>
      <c r="BS36" s="70">
        <v>0</v>
      </c>
      <c r="BT36" s="70">
        <v>0</v>
      </c>
      <c r="BU36" s="70">
        <v>0</v>
      </c>
      <c r="BV36" s="70">
        <v>0</v>
      </c>
      <c r="BW36" s="70">
        <v>66</v>
      </c>
      <c r="BX36" s="70">
        <v>66</v>
      </c>
      <c r="BY36" s="70">
        <v>44.6</v>
      </c>
      <c r="BZ36" s="70">
        <v>44.6</v>
      </c>
      <c r="CA36" s="70">
        <v>8</v>
      </c>
      <c r="CB36" s="70">
        <v>8</v>
      </c>
    </row>
    <row r="37" spans="1:81" x14ac:dyDescent="0.25">
      <c r="A37" s="8">
        <v>44911</v>
      </c>
      <c r="B37" s="3" t="s">
        <v>18</v>
      </c>
      <c r="C37" s="3" t="s">
        <v>22</v>
      </c>
      <c r="D37" s="4">
        <v>7.1</v>
      </c>
      <c r="E37" s="4">
        <v>85</v>
      </c>
      <c r="F37" s="4">
        <v>10.29</v>
      </c>
      <c r="G37" s="4">
        <v>66.2</v>
      </c>
      <c r="H37" s="4">
        <v>100.6</v>
      </c>
      <c r="I37" s="4">
        <v>0</v>
      </c>
      <c r="J37" s="3">
        <v>3.8</v>
      </c>
      <c r="L37" s="61">
        <v>44146</v>
      </c>
      <c r="M37" s="60" t="s">
        <v>49</v>
      </c>
      <c r="N37" s="60" t="s">
        <v>136</v>
      </c>
      <c r="O37" s="64">
        <v>0.4916666666666667</v>
      </c>
      <c r="P37" s="64">
        <v>0.51180555555555551</v>
      </c>
      <c r="Q37" s="60" t="s">
        <v>125</v>
      </c>
      <c r="R37" s="60" t="s">
        <v>126</v>
      </c>
      <c r="S37" s="60" t="s">
        <v>133</v>
      </c>
      <c r="T37" s="60">
        <v>90</v>
      </c>
      <c r="U37" s="60"/>
      <c r="V37" s="60"/>
      <c r="W37" s="60">
        <v>94.4</v>
      </c>
      <c r="X37" s="60">
        <v>94.5</v>
      </c>
      <c r="Y37" s="60">
        <v>11.6</v>
      </c>
      <c r="Z37" s="60">
        <v>11.6</v>
      </c>
      <c r="AA37" s="66"/>
      <c r="AB37" s="66"/>
      <c r="AC37" s="60"/>
      <c r="AD37" s="60"/>
      <c r="AE37" s="60">
        <v>0.1</v>
      </c>
      <c r="AF37" s="60">
        <v>0.1</v>
      </c>
      <c r="AG37" s="60">
        <v>79.3</v>
      </c>
      <c r="AH37" s="60">
        <v>79.3</v>
      </c>
      <c r="AI37" s="60">
        <v>122.5</v>
      </c>
      <c r="AJ37" s="60">
        <v>122.5</v>
      </c>
      <c r="AK37" s="60">
        <v>6.5</v>
      </c>
      <c r="AL37" s="60">
        <v>6.5</v>
      </c>
      <c r="AM37" s="60"/>
      <c r="AN37" s="60" t="s">
        <v>128</v>
      </c>
      <c r="AO37" s="60" t="s">
        <v>129</v>
      </c>
      <c r="AQ37" s="69">
        <v>43753</v>
      </c>
      <c r="AR37" s="71" t="s">
        <v>41</v>
      </c>
      <c r="AS37" s="71" t="s">
        <v>124</v>
      </c>
      <c r="AT37" s="72">
        <v>0.49652777777777773</v>
      </c>
      <c r="AU37" s="72">
        <v>0.5083333333333333</v>
      </c>
      <c r="AV37" s="71" t="s">
        <v>160</v>
      </c>
      <c r="AW37" s="71" t="s">
        <v>126</v>
      </c>
      <c r="AX37" s="71" t="s">
        <v>133</v>
      </c>
      <c r="AY37" s="71">
        <v>95</v>
      </c>
      <c r="AZ37" s="68"/>
      <c r="BB37" s="74">
        <v>43069</v>
      </c>
      <c r="BC37" s="75" t="s">
        <v>30</v>
      </c>
      <c r="BD37" s="75" t="s">
        <v>186</v>
      </c>
      <c r="BE37" s="76">
        <v>0.63055555555555698</v>
      </c>
      <c r="BF37" s="76">
        <v>0.64583333333333481</v>
      </c>
      <c r="BG37" s="75" t="s">
        <v>149</v>
      </c>
      <c r="BH37" s="75" t="s">
        <v>138</v>
      </c>
      <c r="BI37" s="75" t="s">
        <v>132</v>
      </c>
      <c r="BJ37" s="70">
        <v>60</v>
      </c>
      <c r="BK37" s="70">
        <v>0</v>
      </c>
      <c r="BL37" s="70">
        <v>0</v>
      </c>
      <c r="BM37" s="70">
        <v>77.7</v>
      </c>
      <c r="BN37" s="70">
        <v>71.5</v>
      </c>
      <c r="BO37" s="70">
        <v>9.07</v>
      </c>
      <c r="BP37" s="70">
        <v>8.6999999999999993</v>
      </c>
      <c r="BQ37" s="70">
        <v>0</v>
      </c>
      <c r="BR37" s="70">
        <v>0</v>
      </c>
      <c r="BS37" s="70">
        <v>0</v>
      </c>
      <c r="BT37" s="70">
        <v>0</v>
      </c>
      <c r="BU37" s="70">
        <v>0.1</v>
      </c>
      <c r="BV37" s="70">
        <v>0.1</v>
      </c>
      <c r="BW37" s="70">
        <v>119.2</v>
      </c>
      <c r="BX37" s="70">
        <v>119.2</v>
      </c>
      <c r="BY37" s="70">
        <v>79.900000000000006</v>
      </c>
      <c r="BZ37" s="70">
        <v>79.900000000000006</v>
      </c>
      <c r="CA37" s="70">
        <v>7.8</v>
      </c>
      <c r="CB37" s="70">
        <v>7.8</v>
      </c>
    </row>
    <row r="38" spans="1:81" x14ac:dyDescent="0.25">
      <c r="A38" s="8">
        <v>44930</v>
      </c>
      <c r="B38" s="3" t="s">
        <v>18</v>
      </c>
      <c r="C38" s="3" t="s">
        <v>11</v>
      </c>
      <c r="D38" s="4">
        <v>7.5</v>
      </c>
      <c r="E38" s="4">
        <v>92.4</v>
      </c>
      <c r="F38" s="4">
        <v>11</v>
      </c>
      <c r="G38" s="4">
        <v>60</v>
      </c>
      <c r="H38" s="4">
        <v>90.1</v>
      </c>
      <c r="I38" s="4">
        <v>0</v>
      </c>
      <c r="J38" s="3">
        <v>4.4000000000000004</v>
      </c>
      <c r="L38" s="57">
        <v>44146</v>
      </c>
      <c r="M38" s="58" t="s">
        <v>63</v>
      </c>
      <c r="N38" s="58" t="s">
        <v>136</v>
      </c>
      <c r="O38" s="63">
        <v>0.52013888888888882</v>
      </c>
      <c r="P38" s="63">
        <v>0.55347222222222225</v>
      </c>
      <c r="Q38" s="58" t="s">
        <v>125</v>
      </c>
      <c r="R38" s="58" t="s">
        <v>126</v>
      </c>
      <c r="S38" s="58" t="s">
        <v>127</v>
      </c>
      <c r="T38" s="58">
        <v>90</v>
      </c>
      <c r="U38" s="58"/>
      <c r="V38" s="58"/>
      <c r="W38" s="58">
        <v>97.5</v>
      </c>
      <c r="X38" s="58">
        <v>97.5</v>
      </c>
      <c r="Y38" s="58">
        <v>11.79</v>
      </c>
      <c r="Z38" s="58">
        <v>11.79</v>
      </c>
      <c r="AA38" s="65"/>
      <c r="AB38" s="65"/>
      <c r="AC38" s="58"/>
      <c r="AD38" s="58"/>
      <c r="AE38" s="58">
        <v>0.1</v>
      </c>
      <c r="AF38" s="58">
        <v>0.1</v>
      </c>
      <c r="AG38" s="58">
        <v>81.7</v>
      </c>
      <c r="AH38" s="58">
        <v>81.599999999999994</v>
      </c>
      <c r="AI38" s="58">
        <v>12.9</v>
      </c>
      <c r="AJ38" s="58">
        <v>124</v>
      </c>
      <c r="AK38" s="58">
        <v>7.1</v>
      </c>
      <c r="AL38" s="58">
        <v>7.1</v>
      </c>
      <c r="AM38" s="58" t="s">
        <v>145</v>
      </c>
      <c r="AN38" s="58" t="s">
        <v>128</v>
      </c>
      <c r="AO38" s="58" t="s">
        <v>129</v>
      </c>
      <c r="AQ38" s="69">
        <v>43753</v>
      </c>
      <c r="AR38" s="71" t="s">
        <v>83</v>
      </c>
      <c r="AS38" s="71" t="s">
        <v>124</v>
      </c>
      <c r="AT38" s="72">
        <v>0.5395833333333333</v>
      </c>
      <c r="AU38" s="72">
        <v>0.5444444444444444</v>
      </c>
      <c r="AV38" s="71" t="s">
        <v>160</v>
      </c>
      <c r="AW38" s="71" t="s">
        <v>126</v>
      </c>
      <c r="AX38" s="71" t="s">
        <v>133</v>
      </c>
      <c r="AY38" s="71">
        <v>100</v>
      </c>
      <c r="AZ38" s="68"/>
      <c r="BB38" s="74">
        <v>43070</v>
      </c>
      <c r="BC38" s="75" t="s">
        <v>83</v>
      </c>
      <c r="BD38" s="75" t="s">
        <v>186</v>
      </c>
      <c r="BE38" s="76">
        <v>0.40486111111111206</v>
      </c>
      <c r="BF38" s="76">
        <v>0.41388888888888986</v>
      </c>
      <c r="BG38" s="75" t="s">
        <v>130</v>
      </c>
      <c r="BH38" s="75" t="s">
        <v>138</v>
      </c>
      <c r="BI38" s="75" t="s">
        <v>127</v>
      </c>
      <c r="BJ38" s="70">
        <v>90</v>
      </c>
      <c r="BK38" s="70">
        <v>0</v>
      </c>
      <c r="BL38" s="70">
        <v>0</v>
      </c>
      <c r="BM38" s="70">
        <v>90.6</v>
      </c>
      <c r="BN38" s="70">
        <v>87</v>
      </c>
      <c r="BO38" s="70">
        <v>10.6</v>
      </c>
      <c r="BP38" s="70">
        <v>10.199999999999999</v>
      </c>
      <c r="BQ38" s="70">
        <v>0</v>
      </c>
      <c r="BR38" s="70">
        <v>0</v>
      </c>
      <c r="BS38" s="70">
        <v>0</v>
      </c>
      <c r="BT38" s="70">
        <v>0</v>
      </c>
      <c r="BU38" s="70">
        <v>0.1</v>
      </c>
      <c r="BV38" s="70">
        <v>0.1</v>
      </c>
      <c r="BW38" s="70">
        <v>195.3</v>
      </c>
      <c r="BX38" s="70">
        <v>195.4</v>
      </c>
      <c r="BY38" s="70">
        <v>133.5</v>
      </c>
      <c r="BZ38" s="70">
        <v>133.4</v>
      </c>
      <c r="CA38" s="70">
        <v>8.4</v>
      </c>
      <c r="CB38" s="70">
        <v>8.4</v>
      </c>
    </row>
    <row r="39" spans="1:81" x14ac:dyDescent="0.25">
      <c r="A39" s="8">
        <v>44930</v>
      </c>
      <c r="B39" s="3" t="s">
        <v>18</v>
      </c>
      <c r="C39" s="3" t="s">
        <v>11</v>
      </c>
      <c r="D39" s="4">
        <v>7.5</v>
      </c>
      <c r="E39" s="4">
        <v>91.3</v>
      </c>
      <c r="F39" s="4">
        <v>10.94</v>
      </c>
      <c r="G39" s="4">
        <v>60</v>
      </c>
      <c r="H39" s="4">
        <v>90.1</v>
      </c>
      <c r="I39" s="4">
        <v>0</v>
      </c>
      <c r="J39" s="3">
        <v>4.4000000000000004</v>
      </c>
      <c r="L39" s="61">
        <v>44146</v>
      </c>
      <c r="M39" s="60" t="s">
        <v>30</v>
      </c>
      <c r="N39" s="60" t="s">
        <v>136</v>
      </c>
      <c r="O39" s="64">
        <v>0.60833333333333328</v>
      </c>
      <c r="P39" s="64">
        <v>0.62222222222222223</v>
      </c>
      <c r="Q39" s="60" t="s">
        <v>142</v>
      </c>
      <c r="R39" s="60" t="s">
        <v>126</v>
      </c>
      <c r="S39" s="60" t="s">
        <v>131</v>
      </c>
      <c r="T39" s="60">
        <v>80</v>
      </c>
      <c r="U39" s="60"/>
      <c r="V39" s="60"/>
      <c r="W39" s="60">
        <v>78.900000000000006</v>
      </c>
      <c r="X39" s="60">
        <v>78.7</v>
      </c>
      <c r="Y39" s="60">
        <v>9.85</v>
      </c>
      <c r="Z39" s="60">
        <v>9.82</v>
      </c>
      <c r="AA39" s="66"/>
      <c r="AB39" s="66"/>
      <c r="AC39" s="60"/>
      <c r="AD39" s="60"/>
      <c r="AE39" s="60">
        <v>0.1</v>
      </c>
      <c r="AF39" s="60">
        <v>0.1</v>
      </c>
      <c r="AG39" s="60">
        <v>129.30000000000001</v>
      </c>
      <c r="AH39" s="60">
        <v>129.30000000000001</v>
      </c>
      <c r="AI39" s="60">
        <v>203.8</v>
      </c>
      <c r="AJ39" s="60">
        <v>203.8</v>
      </c>
      <c r="AK39" s="60">
        <v>5.9</v>
      </c>
      <c r="AL39" s="60">
        <v>5.9</v>
      </c>
      <c r="AM39" s="60" t="s">
        <v>146</v>
      </c>
      <c r="AN39" s="60" t="s">
        <v>128</v>
      </c>
      <c r="AO39" s="60" t="s">
        <v>129</v>
      </c>
      <c r="AQ39" s="69">
        <v>43759</v>
      </c>
      <c r="AR39" s="71" t="s">
        <v>49</v>
      </c>
      <c r="AS39" s="71" t="s">
        <v>124</v>
      </c>
      <c r="AT39" s="72">
        <v>0.4513888888888889</v>
      </c>
      <c r="AU39" s="72">
        <v>0.47569444444444442</v>
      </c>
      <c r="AV39" s="71" t="s">
        <v>130</v>
      </c>
      <c r="AW39" s="71" t="s">
        <v>126</v>
      </c>
      <c r="AX39" s="71" t="s">
        <v>127</v>
      </c>
      <c r="AY39" s="71">
        <v>90</v>
      </c>
      <c r="AZ39" s="68"/>
      <c r="BB39" s="74">
        <v>43070</v>
      </c>
      <c r="BC39" s="75" t="s">
        <v>41</v>
      </c>
      <c r="BD39" s="75" t="s">
        <v>186</v>
      </c>
      <c r="BE39" s="76">
        <v>0.4465277777777788</v>
      </c>
      <c r="BF39" s="76">
        <v>0.45694444444444549</v>
      </c>
      <c r="BG39" s="75" t="s">
        <v>130</v>
      </c>
      <c r="BH39" s="75" t="s">
        <v>126</v>
      </c>
      <c r="BI39" s="75" t="s">
        <v>132</v>
      </c>
      <c r="BJ39" s="70">
        <v>70</v>
      </c>
      <c r="BK39" s="70">
        <v>0</v>
      </c>
      <c r="BL39" s="70">
        <v>0</v>
      </c>
      <c r="BM39" s="70">
        <v>95.5</v>
      </c>
      <c r="BN39" s="70">
        <v>93.9</v>
      </c>
      <c r="BO39" s="70">
        <v>11.52</v>
      </c>
      <c r="BP39" s="70">
        <v>11.36</v>
      </c>
      <c r="BQ39" s="70">
        <v>0</v>
      </c>
      <c r="BR39" s="70">
        <v>0</v>
      </c>
      <c r="BS39" s="70">
        <v>0</v>
      </c>
      <c r="BT39" s="70">
        <v>0</v>
      </c>
      <c r="BU39" s="70">
        <v>0</v>
      </c>
      <c r="BV39" s="70">
        <v>0</v>
      </c>
      <c r="BW39" s="70">
        <v>105.7</v>
      </c>
      <c r="BX39" s="70">
        <v>105.8</v>
      </c>
      <c r="BY39" s="70">
        <v>69.5</v>
      </c>
      <c r="BZ39" s="70">
        <v>69.5</v>
      </c>
      <c r="CA39" s="70">
        <v>7.1</v>
      </c>
      <c r="CB39" s="70">
        <v>7</v>
      </c>
    </row>
    <row r="40" spans="1:81" x14ac:dyDescent="0.25">
      <c r="A40" s="8">
        <v>44816</v>
      </c>
      <c r="B40" s="3" t="s">
        <v>41</v>
      </c>
      <c r="C40" s="3" t="s">
        <v>11</v>
      </c>
      <c r="D40" s="4">
        <v>15.9</v>
      </c>
      <c r="E40" s="4">
        <v>92</v>
      </c>
      <c r="F40" s="4">
        <v>9.08</v>
      </c>
      <c r="G40" s="4">
        <v>128.4</v>
      </c>
      <c r="H40" s="4">
        <v>155.80000000000001</v>
      </c>
      <c r="I40" s="4">
        <v>0.1</v>
      </c>
      <c r="J40" s="3">
        <v>18.3</v>
      </c>
      <c r="L40" s="57">
        <v>44147</v>
      </c>
      <c r="M40" s="58" t="s">
        <v>34</v>
      </c>
      <c r="N40" s="58" t="s">
        <v>136</v>
      </c>
      <c r="O40" s="63">
        <v>0.60555555555555551</v>
      </c>
      <c r="P40" s="63">
        <v>0.61041666666666672</v>
      </c>
      <c r="Q40" s="58" t="s">
        <v>130</v>
      </c>
      <c r="R40" s="58" t="s">
        <v>126</v>
      </c>
      <c r="S40" s="58" t="s">
        <v>133</v>
      </c>
      <c r="T40" s="58">
        <v>90</v>
      </c>
      <c r="U40" s="58"/>
      <c r="V40" s="58"/>
      <c r="W40" s="58">
        <v>94.6</v>
      </c>
      <c r="X40" s="58">
        <v>94.5</v>
      </c>
      <c r="Y40" s="58">
        <v>11.12</v>
      </c>
      <c r="Z40" s="58">
        <v>11.13</v>
      </c>
      <c r="AA40" s="65"/>
      <c r="AB40" s="65"/>
      <c r="AC40" s="58"/>
      <c r="AD40" s="58"/>
      <c r="AE40" s="58">
        <v>0</v>
      </c>
      <c r="AF40" s="58">
        <v>0</v>
      </c>
      <c r="AG40" s="58">
        <v>63.1</v>
      </c>
      <c r="AH40" s="58">
        <v>63</v>
      </c>
      <c r="AI40" s="58">
        <v>92.3</v>
      </c>
      <c r="AJ40" s="58">
        <v>92.7</v>
      </c>
      <c r="AK40" s="58">
        <v>8.3000000000000007</v>
      </c>
      <c r="AL40" s="58">
        <v>8.1999999999999993</v>
      </c>
      <c r="AM40" s="58"/>
      <c r="AN40" s="58" t="s">
        <v>128</v>
      </c>
      <c r="AO40" s="58" t="s">
        <v>129</v>
      </c>
      <c r="AQ40" s="69">
        <v>43759</v>
      </c>
      <c r="AR40" s="71" t="s">
        <v>162</v>
      </c>
      <c r="AS40" s="71" t="s">
        <v>124</v>
      </c>
      <c r="AT40" s="72">
        <v>0.4770833333333333</v>
      </c>
      <c r="AU40" s="72">
        <v>0.51666666666666672</v>
      </c>
      <c r="AV40" s="71" t="s">
        <v>130</v>
      </c>
      <c r="AW40" s="71" t="s">
        <v>138</v>
      </c>
      <c r="AX40" s="71" t="s">
        <v>127</v>
      </c>
      <c r="AY40" s="71">
        <v>90</v>
      </c>
      <c r="AZ40" s="68"/>
      <c r="BB40" s="74">
        <v>43070</v>
      </c>
      <c r="BC40" s="75" t="s">
        <v>42</v>
      </c>
      <c r="BD40" s="75" t="s">
        <v>186</v>
      </c>
      <c r="BE40" s="76">
        <v>0.52986111111111234</v>
      </c>
      <c r="BF40" s="76">
        <v>0.6159722222222237</v>
      </c>
      <c r="BG40" s="75" t="s">
        <v>149</v>
      </c>
      <c r="BH40" s="75" t="s">
        <v>138</v>
      </c>
      <c r="BI40" s="75" t="s">
        <v>163</v>
      </c>
      <c r="BJ40" s="70">
        <v>60</v>
      </c>
      <c r="BK40" s="70">
        <v>0</v>
      </c>
      <c r="BL40" s="70">
        <v>0</v>
      </c>
      <c r="BM40" s="70">
        <v>72.400000000000006</v>
      </c>
      <c r="BN40" s="70">
        <v>71.3</v>
      </c>
      <c r="BO40" s="70">
        <v>8.74</v>
      </c>
      <c r="BP40" s="70">
        <v>8.6300000000000008</v>
      </c>
      <c r="BQ40" s="70">
        <v>0</v>
      </c>
      <c r="BR40" s="70">
        <v>0</v>
      </c>
      <c r="BS40" s="70">
        <v>0</v>
      </c>
      <c r="BT40" s="70">
        <v>0</v>
      </c>
      <c r="BU40" s="70">
        <v>0</v>
      </c>
      <c r="BV40" s="70">
        <v>0</v>
      </c>
      <c r="BW40" s="70">
        <v>81.8</v>
      </c>
      <c r="BX40" s="70">
        <v>81.8</v>
      </c>
      <c r="BY40" s="70">
        <v>53.9</v>
      </c>
      <c r="BZ40" s="70">
        <v>53.8</v>
      </c>
      <c r="CA40" s="70">
        <v>7.1</v>
      </c>
      <c r="CB40" s="70">
        <v>7.1</v>
      </c>
      <c r="CC40" s="75" t="s">
        <v>188</v>
      </c>
    </row>
    <row r="41" spans="1:81" x14ac:dyDescent="0.25">
      <c r="A41" s="8">
        <v>44816</v>
      </c>
      <c r="B41" s="3" t="s">
        <v>41</v>
      </c>
      <c r="C41" s="3" t="s">
        <v>11</v>
      </c>
      <c r="D41" s="4">
        <v>15.8</v>
      </c>
      <c r="E41" s="4">
        <v>91.9</v>
      </c>
      <c r="F41" s="4">
        <v>9.09</v>
      </c>
      <c r="G41" s="4">
        <v>128.5</v>
      </c>
      <c r="H41" s="4">
        <v>155.9</v>
      </c>
      <c r="I41" s="4">
        <v>0.1</v>
      </c>
      <c r="J41" s="3">
        <v>18.3</v>
      </c>
      <c r="L41" s="61">
        <v>44147</v>
      </c>
      <c r="M41" s="60" t="s">
        <v>18</v>
      </c>
      <c r="N41" s="60" t="s">
        <v>136</v>
      </c>
      <c r="O41" s="64">
        <v>0.63055555555555554</v>
      </c>
      <c r="P41" s="64">
        <v>0.66527777777777775</v>
      </c>
      <c r="Q41" s="60" t="s">
        <v>130</v>
      </c>
      <c r="R41" s="60" t="s">
        <v>126</v>
      </c>
      <c r="S41" s="60" t="s">
        <v>127</v>
      </c>
      <c r="T41" s="60">
        <v>70</v>
      </c>
      <c r="U41" s="60"/>
      <c r="V41" s="60"/>
      <c r="W41" s="60">
        <v>88.1</v>
      </c>
      <c r="X41" s="60">
        <v>87.9</v>
      </c>
      <c r="Y41" s="60">
        <v>10.42</v>
      </c>
      <c r="Z41" s="60">
        <v>10.41</v>
      </c>
      <c r="AA41" s="66"/>
      <c r="AB41" s="66"/>
      <c r="AC41" s="60"/>
      <c r="AD41" s="60"/>
      <c r="AE41" s="60">
        <v>0</v>
      </c>
      <c r="AF41" s="60">
        <v>0</v>
      </c>
      <c r="AG41" s="60">
        <v>71</v>
      </c>
      <c r="AH41" s="60">
        <v>71</v>
      </c>
      <c r="AI41" s="60">
        <v>1051</v>
      </c>
      <c r="AJ41" s="60">
        <v>105.2</v>
      </c>
      <c r="AK41" s="60">
        <v>8</v>
      </c>
      <c r="AL41" s="60">
        <v>8</v>
      </c>
      <c r="AM41" s="60"/>
      <c r="AN41" s="60" t="s">
        <v>128</v>
      </c>
      <c r="AO41" s="60" t="s">
        <v>129</v>
      </c>
      <c r="AQ41" s="69">
        <v>43760</v>
      </c>
      <c r="AR41" s="71" t="s">
        <v>34</v>
      </c>
      <c r="AS41" s="71" t="s">
        <v>124</v>
      </c>
      <c r="AT41" s="72">
        <v>0.52222222222222225</v>
      </c>
      <c r="AU41" s="72">
        <v>0.52638888888888891</v>
      </c>
      <c r="AV41" s="71" t="s">
        <v>130</v>
      </c>
      <c r="AW41" s="71" t="s">
        <v>126</v>
      </c>
      <c r="AX41" s="71" t="s">
        <v>133</v>
      </c>
      <c r="AY41" s="71">
        <v>100</v>
      </c>
      <c r="AZ41" s="68"/>
      <c r="BB41" s="74">
        <v>43077</v>
      </c>
      <c r="BC41" s="75" t="s">
        <v>49</v>
      </c>
      <c r="BD41" s="75" t="s">
        <v>186</v>
      </c>
      <c r="BE41" s="76">
        <v>0.45000000000000107</v>
      </c>
      <c r="BF41" s="76">
        <v>0.48055555555555668</v>
      </c>
      <c r="BG41" s="75" t="s">
        <v>130</v>
      </c>
      <c r="BH41" s="75" t="s">
        <v>138</v>
      </c>
      <c r="BI41" s="75" t="s">
        <v>127</v>
      </c>
      <c r="BJ41" s="70">
        <v>60</v>
      </c>
      <c r="BK41" s="70">
        <v>0</v>
      </c>
      <c r="BL41" s="70">
        <v>0</v>
      </c>
      <c r="BM41" s="70">
        <v>89.7</v>
      </c>
      <c r="BN41" s="70">
        <v>87.1</v>
      </c>
      <c r="BO41" s="70">
        <v>11.3</v>
      </c>
      <c r="BP41" s="70">
        <v>11.08</v>
      </c>
      <c r="BQ41" s="70">
        <v>0</v>
      </c>
      <c r="BR41" s="70">
        <v>0</v>
      </c>
      <c r="BS41" s="70">
        <v>0</v>
      </c>
      <c r="BT41" s="70">
        <v>0</v>
      </c>
      <c r="BU41" s="70">
        <v>0</v>
      </c>
      <c r="BV41" s="70">
        <v>0</v>
      </c>
      <c r="BW41" s="70">
        <v>89.3</v>
      </c>
      <c r="BX41" s="70">
        <v>88.9</v>
      </c>
      <c r="BY41" s="70">
        <v>54.9</v>
      </c>
      <c r="BZ41" s="70">
        <v>55</v>
      </c>
      <c r="CA41" s="70">
        <v>5</v>
      </c>
      <c r="CB41" s="70">
        <v>5</v>
      </c>
    </row>
    <row r="42" spans="1:81" x14ac:dyDescent="0.25">
      <c r="A42" s="8">
        <v>44824</v>
      </c>
      <c r="B42" s="3" t="s">
        <v>41</v>
      </c>
      <c r="C42" s="3" t="s">
        <v>11</v>
      </c>
      <c r="D42" s="4">
        <v>12.7</v>
      </c>
      <c r="E42" s="4">
        <v>97.2</v>
      </c>
      <c r="F42" s="4">
        <v>10.36</v>
      </c>
      <c r="G42" s="4">
        <v>115.7</v>
      </c>
      <c r="H42" s="4">
        <v>151.80000000000001</v>
      </c>
      <c r="I42" s="4">
        <v>0.1</v>
      </c>
      <c r="J42" s="3">
        <v>20.5</v>
      </c>
      <c r="L42" s="57">
        <v>44153</v>
      </c>
      <c r="M42" s="58" t="s">
        <v>42</v>
      </c>
      <c r="N42" s="58" t="s">
        <v>136</v>
      </c>
      <c r="O42" s="63">
        <v>0.4548611111111111</v>
      </c>
      <c r="P42" s="63">
        <v>0.5</v>
      </c>
      <c r="Q42" s="58" t="s">
        <v>147</v>
      </c>
      <c r="R42" s="58" t="s">
        <v>138</v>
      </c>
      <c r="S42" s="58" t="s">
        <v>132</v>
      </c>
      <c r="T42" s="58">
        <v>60</v>
      </c>
      <c r="U42" s="58"/>
      <c r="V42" s="58"/>
      <c r="W42" s="58">
        <v>73</v>
      </c>
      <c r="X42" s="58">
        <v>73</v>
      </c>
      <c r="Y42" s="58">
        <v>8.74</v>
      </c>
      <c r="Z42" s="58">
        <v>8.73</v>
      </c>
      <c r="AA42" s="65"/>
      <c r="AB42" s="65"/>
      <c r="AC42" s="58"/>
      <c r="AD42" s="58"/>
      <c r="AE42" s="58">
        <v>0.1</v>
      </c>
      <c r="AF42" s="58">
        <v>0.1</v>
      </c>
      <c r="AG42" s="58">
        <v>72.3</v>
      </c>
      <c r="AH42" s="58">
        <v>72.2</v>
      </c>
      <c r="AI42" s="58">
        <v>108.5</v>
      </c>
      <c r="AJ42" s="58">
        <v>108.5</v>
      </c>
      <c r="AK42" s="58">
        <v>7.5</v>
      </c>
      <c r="AL42" s="58">
        <v>7.5</v>
      </c>
      <c r="AM42" s="58" t="s">
        <v>148</v>
      </c>
      <c r="AN42" s="58" t="s">
        <v>128</v>
      </c>
      <c r="AO42" s="58" t="s">
        <v>129</v>
      </c>
      <c r="AQ42" s="69">
        <v>43760</v>
      </c>
      <c r="AR42" s="71" t="s">
        <v>18</v>
      </c>
      <c r="AS42" s="71" t="s">
        <v>124</v>
      </c>
      <c r="AT42" s="72">
        <v>0.56597222222222221</v>
      </c>
      <c r="AU42" s="72">
        <v>0.60763888888888895</v>
      </c>
      <c r="AV42" s="71" t="s">
        <v>130</v>
      </c>
      <c r="AW42" s="71" t="s">
        <v>138</v>
      </c>
      <c r="AX42" s="71" t="s">
        <v>133</v>
      </c>
      <c r="AY42" s="71">
        <v>95</v>
      </c>
      <c r="AZ42" s="68"/>
      <c r="BB42" s="74">
        <v>43077</v>
      </c>
      <c r="BC42" s="75" t="s">
        <v>162</v>
      </c>
      <c r="BD42" s="75" t="s">
        <v>186</v>
      </c>
      <c r="BE42" s="76">
        <v>0.48958333333333448</v>
      </c>
      <c r="BF42" s="76">
        <v>0.5472222222222235</v>
      </c>
      <c r="BG42" s="75" t="s">
        <v>130</v>
      </c>
      <c r="BH42" s="75" t="s">
        <v>138</v>
      </c>
      <c r="BI42" s="75" t="s">
        <v>127</v>
      </c>
      <c r="BJ42" s="70">
        <v>60</v>
      </c>
      <c r="BK42" s="70">
        <v>0</v>
      </c>
      <c r="BL42" s="70">
        <v>0</v>
      </c>
      <c r="BM42" s="70">
        <v>89.3</v>
      </c>
      <c r="BN42" s="70">
        <v>88.6</v>
      </c>
      <c r="BO42" s="70">
        <v>11.13</v>
      </c>
      <c r="BP42" s="70">
        <v>11.07</v>
      </c>
      <c r="BQ42" s="70">
        <v>0</v>
      </c>
      <c r="BR42" s="70">
        <v>0</v>
      </c>
      <c r="BS42" s="70">
        <v>0</v>
      </c>
      <c r="BT42" s="70">
        <v>0</v>
      </c>
      <c r="BU42" s="70">
        <v>0</v>
      </c>
      <c r="BV42" s="70">
        <v>0</v>
      </c>
      <c r="BW42" s="70">
        <v>90.1</v>
      </c>
      <c r="BX42" s="70">
        <v>90.1</v>
      </c>
      <c r="BY42" s="70">
        <v>57.1</v>
      </c>
      <c r="BZ42" s="70">
        <v>57.1</v>
      </c>
      <c r="CA42" s="70">
        <v>5.8</v>
      </c>
      <c r="CB42" s="70">
        <v>5.8</v>
      </c>
    </row>
    <row r="43" spans="1:81" x14ac:dyDescent="0.25">
      <c r="A43" s="8">
        <v>44824</v>
      </c>
      <c r="B43" s="3" t="s">
        <v>41</v>
      </c>
      <c r="C43" s="3" t="s">
        <v>11</v>
      </c>
      <c r="D43" s="4">
        <v>12.5</v>
      </c>
      <c r="E43" s="4">
        <v>95.5</v>
      </c>
      <c r="F43" s="4">
        <v>10.17</v>
      </c>
      <c r="G43" s="4">
        <v>115.8</v>
      </c>
      <c r="H43" s="4">
        <v>152.19999999999999</v>
      </c>
      <c r="I43" s="4">
        <v>0.1</v>
      </c>
      <c r="J43" s="3">
        <v>20.5</v>
      </c>
      <c r="L43" s="61">
        <v>44153</v>
      </c>
      <c r="M43" s="60" t="s">
        <v>83</v>
      </c>
      <c r="N43" s="60" t="s">
        <v>136</v>
      </c>
      <c r="O43" s="64">
        <v>0.59027777777777779</v>
      </c>
      <c r="P43" s="64">
        <v>0.59305555555555556</v>
      </c>
      <c r="Q43" s="60" t="s">
        <v>149</v>
      </c>
      <c r="R43" s="60" t="s">
        <v>126</v>
      </c>
      <c r="S43" s="60" t="s">
        <v>131</v>
      </c>
      <c r="T43" s="60">
        <v>80</v>
      </c>
      <c r="U43" s="60"/>
      <c r="V43" s="60"/>
      <c r="W43" s="60">
        <v>100.1</v>
      </c>
      <c r="X43" s="60">
        <v>99.9</v>
      </c>
      <c r="Y43" s="60">
        <v>11.52</v>
      </c>
      <c r="Z43" s="60">
        <v>11.51</v>
      </c>
      <c r="AA43" s="66"/>
      <c r="AB43" s="66"/>
      <c r="AC43" s="60"/>
      <c r="AD43" s="60"/>
      <c r="AE43" s="60">
        <v>0.1</v>
      </c>
      <c r="AF43" s="60">
        <v>0.1</v>
      </c>
      <c r="AG43" s="60">
        <v>143.6</v>
      </c>
      <c r="AH43" s="60">
        <v>143.6</v>
      </c>
      <c r="AI43" s="60">
        <v>206.1</v>
      </c>
      <c r="AJ43" s="60">
        <v>206.2</v>
      </c>
      <c r="AK43" s="60">
        <v>10.1</v>
      </c>
      <c r="AL43" s="60">
        <v>10.1</v>
      </c>
      <c r="AM43" s="60"/>
      <c r="AN43" s="60" t="s">
        <v>128</v>
      </c>
      <c r="AO43" s="60" t="s">
        <v>129</v>
      </c>
      <c r="AQ43" s="69">
        <v>43769</v>
      </c>
      <c r="AR43" s="71" t="s">
        <v>42</v>
      </c>
      <c r="AS43" s="71" t="s">
        <v>124</v>
      </c>
      <c r="AT43" s="72">
        <v>0.62847222222222221</v>
      </c>
      <c r="AU43" s="72">
        <v>0.66875000000000007</v>
      </c>
      <c r="AV43" s="71" t="s">
        <v>160</v>
      </c>
      <c r="AW43" s="71" t="s">
        <v>126</v>
      </c>
      <c r="AX43" s="71" t="s">
        <v>163</v>
      </c>
      <c r="AY43" s="71">
        <v>90</v>
      </c>
      <c r="AZ43" s="68"/>
      <c r="BB43" s="74">
        <v>43077</v>
      </c>
      <c r="BC43" s="75" t="s">
        <v>30</v>
      </c>
      <c r="BD43" s="75" t="s">
        <v>186</v>
      </c>
      <c r="BE43" s="76">
        <v>0.59097222222222356</v>
      </c>
      <c r="BF43" s="76">
        <v>0.59930555555555698</v>
      </c>
      <c r="BG43" s="75" t="s">
        <v>130</v>
      </c>
      <c r="BH43" s="75" t="s">
        <v>126</v>
      </c>
      <c r="BI43" s="75" t="s">
        <v>127</v>
      </c>
      <c r="BJ43" s="70">
        <v>60</v>
      </c>
      <c r="BK43" s="70">
        <v>0</v>
      </c>
      <c r="BL43" s="70">
        <v>0</v>
      </c>
      <c r="BM43" s="70">
        <v>75</v>
      </c>
      <c r="BN43" s="70">
        <v>74.2</v>
      </c>
      <c r="BO43" s="70">
        <v>97.7</v>
      </c>
      <c r="BP43" s="70">
        <v>9.73</v>
      </c>
      <c r="BQ43" s="70">
        <v>0</v>
      </c>
      <c r="BR43" s="70">
        <v>0</v>
      </c>
      <c r="BS43" s="70">
        <v>0</v>
      </c>
      <c r="BT43" s="70">
        <v>0</v>
      </c>
      <c r="BU43" s="70">
        <v>0.1</v>
      </c>
      <c r="BV43" s="70">
        <v>0.1</v>
      </c>
      <c r="BW43" s="70">
        <v>134.5</v>
      </c>
      <c r="BX43" s="70">
        <v>134.5</v>
      </c>
      <c r="BY43" s="70">
        <v>80.400000000000006</v>
      </c>
      <c r="BZ43" s="70">
        <v>80.400000000000006</v>
      </c>
      <c r="CA43" s="70">
        <v>4</v>
      </c>
      <c r="CB43" s="70">
        <v>3.9</v>
      </c>
    </row>
    <row r="44" spans="1:81" x14ac:dyDescent="0.25">
      <c r="A44" s="8">
        <v>44831</v>
      </c>
      <c r="B44" s="3" t="s">
        <v>41</v>
      </c>
      <c r="C44" s="3" t="s">
        <v>23</v>
      </c>
      <c r="D44" s="4">
        <v>12.5</v>
      </c>
      <c r="E44" s="4">
        <v>92.9</v>
      </c>
      <c r="F44" s="4">
        <v>9.85</v>
      </c>
      <c r="G44" s="4">
        <v>110</v>
      </c>
      <c r="H44" s="4">
        <v>144.80000000000001</v>
      </c>
      <c r="I44" s="4">
        <v>0.1</v>
      </c>
      <c r="J44" s="3">
        <v>18.8</v>
      </c>
      <c r="L44" s="57">
        <v>44153</v>
      </c>
      <c r="M44" s="58" t="s">
        <v>40</v>
      </c>
      <c r="N44" s="58" t="s">
        <v>136</v>
      </c>
      <c r="O44" s="63">
        <v>0.61875000000000002</v>
      </c>
      <c r="P44" s="63">
        <v>0.63263888888888886</v>
      </c>
      <c r="Q44" s="58" t="s">
        <v>149</v>
      </c>
      <c r="R44" s="58" t="s">
        <v>126</v>
      </c>
      <c r="S44" s="58" t="s">
        <v>131</v>
      </c>
      <c r="T44" s="58">
        <v>70</v>
      </c>
      <c r="U44" s="58"/>
      <c r="V44" s="58"/>
      <c r="W44" s="58">
        <v>85.8</v>
      </c>
      <c r="X44" s="58">
        <v>85.4</v>
      </c>
      <c r="Y44" s="58">
        <v>10.17</v>
      </c>
      <c r="Z44" s="58">
        <v>10.15</v>
      </c>
      <c r="AA44" s="65"/>
      <c r="AB44" s="65"/>
      <c r="AC44" s="58"/>
      <c r="AD44" s="58"/>
      <c r="AE44" s="58">
        <v>0.1</v>
      </c>
      <c r="AF44" s="58">
        <v>0.1</v>
      </c>
      <c r="AG44" s="58">
        <v>75.7</v>
      </c>
      <c r="AH44" s="58">
        <v>75.599999999999994</v>
      </c>
      <c r="AI44" s="58">
        <v>112.5</v>
      </c>
      <c r="AJ44" s="58">
        <v>112.4</v>
      </c>
      <c r="AK44" s="58">
        <v>7.9</v>
      </c>
      <c r="AL44" s="58">
        <v>7.9</v>
      </c>
      <c r="AM44" s="58"/>
      <c r="AN44" s="58" t="s">
        <v>128</v>
      </c>
      <c r="AO44" s="58" t="s">
        <v>129</v>
      </c>
      <c r="AQ44" s="69">
        <v>43770</v>
      </c>
      <c r="AR44" s="71" t="s">
        <v>30</v>
      </c>
      <c r="AS44" s="71" t="s">
        <v>124</v>
      </c>
      <c r="AT44" s="72">
        <v>0.48402777777777778</v>
      </c>
      <c r="AU44" s="72">
        <v>0.49444444444444446</v>
      </c>
      <c r="AV44" s="71" t="s">
        <v>160</v>
      </c>
      <c r="AW44" s="71" t="s">
        <v>126</v>
      </c>
      <c r="AX44" s="71" t="s">
        <v>163</v>
      </c>
      <c r="AY44" s="71">
        <v>80</v>
      </c>
      <c r="AZ44" s="68"/>
      <c r="BB44" s="74">
        <v>43081</v>
      </c>
      <c r="BC44" s="75" t="s">
        <v>83</v>
      </c>
      <c r="BD44" s="75" t="s">
        <v>164</v>
      </c>
      <c r="BE44" s="76">
        <v>0.47777777777777891</v>
      </c>
      <c r="BF44" s="76">
        <v>0.48125000000000112</v>
      </c>
      <c r="BG44" s="75" t="s">
        <v>130</v>
      </c>
      <c r="BH44" s="75" t="s">
        <v>138</v>
      </c>
      <c r="BI44" s="75" t="s">
        <v>127</v>
      </c>
      <c r="BJ44" s="70">
        <v>90</v>
      </c>
      <c r="BK44" s="70">
        <v>0</v>
      </c>
      <c r="BL44" s="70">
        <v>0</v>
      </c>
      <c r="BM44" s="70">
        <v>94.2</v>
      </c>
      <c r="BN44" s="70">
        <v>94</v>
      </c>
      <c r="BO44" s="70">
        <v>11.49</v>
      </c>
      <c r="BP44" s="70">
        <v>11.47</v>
      </c>
      <c r="BQ44" s="70">
        <v>0</v>
      </c>
      <c r="BR44" s="70">
        <v>0</v>
      </c>
      <c r="BS44" s="70">
        <v>0</v>
      </c>
      <c r="BT44" s="70">
        <v>0</v>
      </c>
      <c r="BU44" s="70">
        <v>0.1</v>
      </c>
      <c r="BV44" s="70">
        <v>0.1</v>
      </c>
      <c r="BW44" s="70">
        <v>204.1</v>
      </c>
      <c r="BX44" s="70">
        <v>203.8</v>
      </c>
      <c r="BY44" s="70">
        <v>132.9</v>
      </c>
      <c r="BZ44" s="70">
        <v>132.69999999999999</v>
      </c>
      <c r="CA44" s="70">
        <v>6.8</v>
      </c>
      <c r="CB44" s="70">
        <v>6.7</v>
      </c>
    </row>
    <row r="45" spans="1:81" x14ac:dyDescent="0.25">
      <c r="A45" s="8">
        <v>44831</v>
      </c>
      <c r="B45" s="3" t="s">
        <v>41</v>
      </c>
      <c r="C45" s="3" t="s">
        <v>23</v>
      </c>
      <c r="D45" s="4">
        <v>12.4</v>
      </c>
      <c r="E45" s="4">
        <v>91.3</v>
      </c>
      <c r="F45" s="4">
        <v>9.83</v>
      </c>
      <c r="G45" s="4">
        <v>110</v>
      </c>
      <c r="H45" s="4">
        <v>145.19999999999999</v>
      </c>
      <c r="I45" s="4">
        <v>0.1</v>
      </c>
      <c r="J45" s="3">
        <v>18.8</v>
      </c>
      <c r="L45" s="61">
        <v>44155</v>
      </c>
      <c r="M45" s="60" t="s">
        <v>30</v>
      </c>
      <c r="N45" s="60" t="s">
        <v>136</v>
      </c>
      <c r="O45" s="64">
        <v>0.46111111111111108</v>
      </c>
      <c r="P45" s="64">
        <v>0.48749999999999999</v>
      </c>
      <c r="Q45" s="60" t="s">
        <v>130</v>
      </c>
      <c r="R45" s="60" t="s">
        <v>138</v>
      </c>
      <c r="S45" s="60" t="s">
        <v>131</v>
      </c>
      <c r="T45" s="60">
        <v>75</v>
      </c>
      <c r="U45" s="60"/>
      <c r="V45" s="60"/>
      <c r="W45" s="60">
        <v>81.900000000000006</v>
      </c>
      <c r="X45" s="60">
        <v>81.3</v>
      </c>
      <c r="Y45" s="60">
        <v>9.77</v>
      </c>
      <c r="Z45" s="60">
        <v>9.6999999999999993</v>
      </c>
      <c r="AA45" s="66"/>
      <c r="AB45" s="66"/>
      <c r="AC45" s="60"/>
      <c r="AD45" s="60"/>
      <c r="AE45" s="60">
        <v>0.1</v>
      </c>
      <c r="AF45" s="60">
        <v>0.1</v>
      </c>
      <c r="AG45" s="60">
        <v>134.30000000000001</v>
      </c>
      <c r="AH45" s="60">
        <v>134.30000000000001</v>
      </c>
      <c r="AI45" s="60">
        <v>200.6</v>
      </c>
      <c r="AJ45" s="60">
        <v>200.6</v>
      </c>
      <c r="AK45" s="60">
        <v>7.7</v>
      </c>
      <c r="AL45" s="60">
        <v>7.7</v>
      </c>
      <c r="AM45" s="60"/>
      <c r="AN45" s="60" t="s">
        <v>128</v>
      </c>
      <c r="AO45" s="60" t="s">
        <v>129</v>
      </c>
      <c r="AQ45" s="69">
        <v>43770</v>
      </c>
      <c r="AR45" s="71" t="s">
        <v>41</v>
      </c>
      <c r="AS45" s="71" t="s">
        <v>124</v>
      </c>
      <c r="AT45" s="72">
        <v>0.52430555555555558</v>
      </c>
      <c r="AU45" s="72">
        <v>0.53472222222222221</v>
      </c>
      <c r="AV45" s="71" t="s">
        <v>160</v>
      </c>
      <c r="AW45" s="71" t="s">
        <v>126</v>
      </c>
      <c r="AX45" s="71" t="s">
        <v>127</v>
      </c>
      <c r="AY45" s="71">
        <v>90</v>
      </c>
      <c r="AZ45" s="68"/>
      <c r="BB45" s="74">
        <v>43081</v>
      </c>
      <c r="BC45" s="75" t="s">
        <v>42</v>
      </c>
      <c r="BD45" s="75" t="s">
        <v>164</v>
      </c>
      <c r="BE45" s="76">
        <v>0.50208333333333455</v>
      </c>
      <c r="BF45" s="76">
        <v>0.54583333333333461</v>
      </c>
      <c r="BG45" s="75" t="s">
        <v>130</v>
      </c>
      <c r="BH45" s="75" t="s">
        <v>138</v>
      </c>
      <c r="BI45" s="75" t="s">
        <v>127</v>
      </c>
      <c r="BJ45" s="70">
        <v>90</v>
      </c>
      <c r="BK45" s="70">
        <v>0</v>
      </c>
      <c r="BL45" s="70">
        <v>0</v>
      </c>
      <c r="BM45" s="70">
        <v>72.2</v>
      </c>
      <c r="BN45" s="70">
        <v>71.3</v>
      </c>
      <c r="BO45" s="70">
        <v>9.2799999999999994</v>
      </c>
      <c r="BP45" s="70">
        <v>9.17</v>
      </c>
      <c r="BQ45" s="70">
        <v>0</v>
      </c>
      <c r="BR45" s="70">
        <v>0</v>
      </c>
      <c r="BS45" s="70">
        <v>0</v>
      </c>
      <c r="BT45" s="70">
        <v>0</v>
      </c>
      <c r="BU45" s="70">
        <v>0</v>
      </c>
      <c r="BV45" s="70">
        <v>0</v>
      </c>
      <c r="BW45" s="70">
        <v>89.7</v>
      </c>
      <c r="BX45" s="70">
        <v>89.8</v>
      </c>
      <c r="BY45" s="70">
        <v>54.9</v>
      </c>
      <c r="BZ45" s="70">
        <v>54.8</v>
      </c>
      <c r="CA45" s="70">
        <v>4.7</v>
      </c>
      <c r="CB45" s="70">
        <v>4.5999999999999996</v>
      </c>
    </row>
    <row r="46" spans="1:81" x14ac:dyDescent="0.25">
      <c r="A46" s="8">
        <v>44838</v>
      </c>
      <c r="B46" s="3" t="s">
        <v>41</v>
      </c>
      <c r="C46" s="3" t="s">
        <v>10</v>
      </c>
      <c r="D46" s="4">
        <v>12.1</v>
      </c>
      <c r="E46" s="4">
        <v>97</v>
      </c>
      <c r="F46" s="4">
        <v>10.41</v>
      </c>
      <c r="G46" s="4">
        <v>114.1</v>
      </c>
      <c r="H46" s="4">
        <v>152.4</v>
      </c>
      <c r="I46" s="4">
        <v>0.1</v>
      </c>
      <c r="J46" s="3">
        <v>15.5</v>
      </c>
      <c r="L46" s="57">
        <v>44155</v>
      </c>
      <c r="M46" s="58" t="s">
        <v>49</v>
      </c>
      <c r="N46" s="58" t="s">
        <v>137</v>
      </c>
      <c r="O46" s="63">
        <v>0.56527777777777777</v>
      </c>
      <c r="P46" s="63">
        <v>0.59861111111111109</v>
      </c>
      <c r="Q46" s="58" t="s">
        <v>130</v>
      </c>
      <c r="R46" s="58" t="s">
        <v>138</v>
      </c>
      <c r="S46" s="58" t="s">
        <v>127</v>
      </c>
      <c r="T46" s="58">
        <v>60</v>
      </c>
      <c r="U46" s="58"/>
      <c r="V46" s="58"/>
      <c r="W46" s="58">
        <v>85.9</v>
      </c>
      <c r="X46" s="58">
        <v>85.6</v>
      </c>
      <c r="Y46" s="58">
        <v>10.01</v>
      </c>
      <c r="Z46" s="58">
        <v>9.98</v>
      </c>
      <c r="AA46" s="65"/>
      <c r="AB46" s="65"/>
      <c r="AC46" s="58"/>
      <c r="AD46" s="58"/>
      <c r="AE46" s="58">
        <v>0.1</v>
      </c>
      <c r="AF46" s="58">
        <v>0.1</v>
      </c>
      <c r="AG46" s="58">
        <v>81.099999999999994</v>
      </c>
      <c r="AH46" s="58">
        <v>81</v>
      </c>
      <c r="AI46" s="58">
        <v>117.9</v>
      </c>
      <c r="AJ46" s="58">
        <v>117.9</v>
      </c>
      <c r="AK46" s="58">
        <v>8.6</v>
      </c>
      <c r="AL46" s="58">
        <v>8.6</v>
      </c>
      <c r="AM46" s="58" t="s">
        <v>150</v>
      </c>
      <c r="AN46" s="58" t="s">
        <v>128</v>
      </c>
      <c r="AO46" s="58" t="s">
        <v>129</v>
      </c>
      <c r="AQ46" s="69">
        <v>43770</v>
      </c>
      <c r="AR46" s="71" t="s">
        <v>40</v>
      </c>
      <c r="AS46" s="71" t="s">
        <v>124</v>
      </c>
      <c r="AT46" s="72">
        <v>0.55972222222222223</v>
      </c>
      <c r="AU46" s="72">
        <v>0.57638888888888895</v>
      </c>
      <c r="AV46" s="71" t="s">
        <v>160</v>
      </c>
      <c r="AW46" s="71" t="s">
        <v>126</v>
      </c>
      <c r="AX46" s="71" t="s">
        <v>163</v>
      </c>
      <c r="AY46" s="71">
        <v>85</v>
      </c>
      <c r="AZ46" s="68"/>
      <c r="BB46" s="74">
        <v>43083</v>
      </c>
      <c r="BC46" s="75" t="s">
        <v>34</v>
      </c>
      <c r="BD46" s="75" t="s">
        <v>189</v>
      </c>
      <c r="BE46" s="76">
        <v>0.47569444444444553</v>
      </c>
      <c r="BF46" s="76">
        <v>0.49305555555555669</v>
      </c>
      <c r="BH46" s="75" t="s">
        <v>138</v>
      </c>
      <c r="BI46" s="75" t="s">
        <v>127</v>
      </c>
      <c r="BJ46" s="70">
        <v>90</v>
      </c>
      <c r="BK46" s="70">
        <v>0</v>
      </c>
      <c r="BL46" s="70">
        <v>0</v>
      </c>
      <c r="BM46" s="70">
        <v>86.2</v>
      </c>
      <c r="BN46" s="70">
        <v>85.7</v>
      </c>
      <c r="BO46" s="70">
        <v>10.34</v>
      </c>
      <c r="BP46" s="70">
        <v>10.27</v>
      </c>
      <c r="BQ46" s="70">
        <v>0</v>
      </c>
      <c r="BR46" s="70">
        <v>0</v>
      </c>
      <c r="BS46" s="70">
        <v>0</v>
      </c>
      <c r="BT46" s="70">
        <v>0</v>
      </c>
      <c r="BU46" s="70">
        <v>0</v>
      </c>
      <c r="BV46" s="70">
        <v>0</v>
      </c>
      <c r="BW46" s="70">
        <v>83.4</v>
      </c>
      <c r="BX46" s="70">
        <v>83.3</v>
      </c>
      <c r="BY46" s="70">
        <v>55.5</v>
      </c>
      <c r="BZ46" s="70">
        <v>55.4</v>
      </c>
      <c r="CA46" s="70">
        <v>7.4</v>
      </c>
      <c r="CB46" s="70">
        <v>7.5</v>
      </c>
    </row>
    <row r="47" spans="1:81" x14ac:dyDescent="0.25">
      <c r="A47" s="8">
        <v>44838</v>
      </c>
      <c r="B47" s="3" t="s">
        <v>41</v>
      </c>
      <c r="C47" s="3" t="s">
        <v>10</v>
      </c>
      <c r="D47" s="4">
        <v>12.1</v>
      </c>
      <c r="E47" s="4">
        <v>96</v>
      </c>
      <c r="F47" s="4">
        <v>10.34</v>
      </c>
      <c r="G47" s="4">
        <v>114.9</v>
      </c>
      <c r="H47" s="4">
        <v>152.69999999999999</v>
      </c>
      <c r="I47" s="4">
        <v>0.1</v>
      </c>
      <c r="J47" s="3">
        <v>15.5</v>
      </c>
      <c r="L47" s="61">
        <v>44155</v>
      </c>
      <c r="M47" s="60" t="s">
        <v>63</v>
      </c>
      <c r="N47" s="60" t="s">
        <v>136</v>
      </c>
      <c r="O47" s="64">
        <v>0.58888888888888891</v>
      </c>
      <c r="P47" s="64">
        <v>0.65208333333333335</v>
      </c>
      <c r="Q47" s="60" t="s">
        <v>130</v>
      </c>
      <c r="R47" s="60" t="s">
        <v>138</v>
      </c>
      <c r="S47" s="60" t="s">
        <v>127</v>
      </c>
      <c r="T47" s="60">
        <v>70</v>
      </c>
      <c r="U47" s="60"/>
      <c r="V47" s="60"/>
      <c r="W47" s="60">
        <v>75.599999999999994</v>
      </c>
      <c r="X47" s="60">
        <v>75.7</v>
      </c>
      <c r="Y47" s="60">
        <v>8.7799999999999994</v>
      </c>
      <c r="Z47" s="60">
        <v>8.81</v>
      </c>
      <c r="AA47" s="66"/>
      <c r="AB47" s="66"/>
      <c r="AC47" s="60"/>
      <c r="AD47" s="60"/>
      <c r="AE47" s="60">
        <v>0.1</v>
      </c>
      <c r="AF47" s="60">
        <v>0.1</v>
      </c>
      <c r="AG47" s="60">
        <v>83</v>
      </c>
      <c r="AH47" s="60">
        <v>83</v>
      </c>
      <c r="AI47" s="60">
        <v>120.2</v>
      </c>
      <c r="AJ47" s="60">
        <v>120.2</v>
      </c>
      <c r="AK47" s="60">
        <v>8.8000000000000007</v>
      </c>
      <c r="AL47" s="60">
        <v>8.8000000000000007</v>
      </c>
      <c r="AM47" s="60"/>
      <c r="AN47" s="60" t="s">
        <v>128</v>
      </c>
      <c r="AO47" s="60" t="s">
        <v>129</v>
      </c>
      <c r="AQ47" s="69">
        <v>43770</v>
      </c>
      <c r="AR47" s="71" t="s">
        <v>83</v>
      </c>
      <c r="AS47" s="71" t="s">
        <v>124</v>
      </c>
      <c r="AT47" s="72">
        <v>0.60069444444444442</v>
      </c>
      <c r="AU47" s="72">
        <v>0.60555555555555551</v>
      </c>
      <c r="AV47" s="71" t="s">
        <v>160</v>
      </c>
      <c r="AW47" s="71" t="s">
        <v>138</v>
      </c>
      <c r="AX47" s="71" t="s">
        <v>133</v>
      </c>
      <c r="AY47" s="71">
        <v>100</v>
      </c>
      <c r="AZ47" s="68"/>
      <c r="BB47" s="74">
        <v>43083</v>
      </c>
      <c r="BC47" s="75" t="s">
        <v>18</v>
      </c>
      <c r="BD47" s="75" t="s">
        <v>189</v>
      </c>
      <c r="BE47" s="76">
        <v>0.53680555555555676</v>
      </c>
      <c r="BF47" s="76">
        <v>0.59375000000000133</v>
      </c>
      <c r="BG47" s="75" t="s">
        <v>130</v>
      </c>
      <c r="BH47" s="75" t="s">
        <v>138</v>
      </c>
      <c r="BI47" s="75" t="s">
        <v>127</v>
      </c>
      <c r="BJ47" s="70">
        <v>80</v>
      </c>
      <c r="BK47" s="70">
        <v>0</v>
      </c>
      <c r="BL47" s="70">
        <v>0</v>
      </c>
      <c r="BM47" s="70">
        <v>94.5</v>
      </c>
      <c r="BN47" s="70">
        <v>94.3</v>
      </c>
      <c r="BO47" s="70">
        <v>11.28</v>
      </c>
      <c r="BP47" s="70">
        <v>11.26</v>
      </c>
      <c r="BQ47" s="70">
        <v>0</v>
      </c>
      <c r="BR47" s="70">
        <v>0</v>
      </c>
      <c r="BS47" s="70">
        <v>0</v>
      </c>
      <c r="BT47" s="70">
        <v>0</v>
      </c>
      <c r="BU47" s="70">
        <v>0</v>
      </c>
      <c r="BV47" s="70">
        <v>0</v>
      </c>
      <c r="BW47" s="70">
        <v>90.1</v>
      </c>
      <c r="BX47" s="70">
        <v>90.1</v>
      </c>
      <c r="BY47" s="70">
        <v>60.3</v>
      </c>
      <c r="BZ47" s="70">
        <v>60.3</v>
      </c>
      <c r="CA47" s="70">
        <v>7.7</v>
      </c>
      <c r="CB47" s="70">
        <v>7.7</v>
      </c>
    </row>
    <row r="48" spans="1:81" x14ac:dyDescent="0.25">
      <c r="A48" s="8">
        <v>44854</v>
      </c>
      <c r="B48" s="3" t="s">
        <v>41</v>
      </c>
      <c r="C48" s="3" t="s">
        <v>10</v>
      </c>
      <c r="D48" s="4">
        <v>9.1999999999999993</v>
      </c>
      <c r="E48" s="4">
        <v>97.3</v>
      </c>
      <c r="F48" s="4">
        <v>11.17</v>
      </c>
      <c r="G48" s="4">
        <v>104.2</v>
      </c>
      <c r="H48" s="4">
        <v>149.30000000000001</v>
      </c>
      <c r="I48" s="4">
        <v>0.1</v>
      </c>
      <c r="J48" s="3">
        <v>15.5</v>
      </c>
      <c r="L48" s="57">
        <v>44159</v>
      </c>
      <c r="M48" s="58" t="s">
        <v>34</v>
      </c>
      <c r="N48" s="58" t="s">
        <v>136</v>
      </c>
      <c r="O48" s="63">
        <v>0.47569444444444442</v>
      </c>
      <c r="P48" s="63">
        <v>0.48194444444444445</v>
      </c>
      <c r="Q48" s="58" t="s">
        <v>149</v>
      </c>
      <c r="R48" s="58" t="s">
        <v>138</v>
      </c>
      <c r="S48" s="58" t="s">
        <v>133</v>
      </c>
      <c r="T48" s="58">
        <v>85</v>
      </c>
      <c r="U48" s="58"/>
      <c r="V48" s="58"/>
      <c r="W48" s="58">
        <v>95.5</v>
      </c>
      <c r="X48" s="58">
        <v>95.3</v>
      </c>
      <c r="Y48" s="58">
        <v>11.13</v>
      </c>
      <c r="Z48" s="58">
        <v>11.14</v>
      </c>
      <c r="AA48" s="65"/>
      <c r="AB48" s="65"/>
      <c r="AC48" s="58"/>
      <c r="AD48" s="58"/>
      <c r="AE48" s="58">
        <v>0</v>
      </c>
      <c r="AF48" s="58">
        <v>0</v>
      </c>
      <c r="AG48" s="58">
        <v>64.5</v>
      </c>
      <c r="AH48" s="58">
        <v>64.400000000000006</v>
      </c>
      <c r="AI48" s="58">
        <v>93.8</v>
      </c>
      <c r="AJ48" s="58">
        <v>93.8</v>
      </c>
      <c r="AK48" s="58">
        <v>8.6999999999999993</v>
      </c>
      <c r="AL48" s="58">
        <v>8.6</v>
      </c>
      <c r="AM48" s="58" t="s">
        <v>151</v>
      </c>
      <c r="AN48" s="58" t="s">
        <v>128</v>
      </c>
      <c r="AO48" s="58" t="s">
        <v>129</v>
      </c>
      <c r="AQ48" s="69">
        <v>43773</v>
      </c>
      <c r="AR48" s="71" t="s">
        <v>34</v>
      </c>
      <c r="AS48" s="71" t="s">
        <v>124</v>
      </c>
      <c r="AT48" s="72">
        <v>0.50486111111111109</v>
      </c>
      <c r="AU48" s="72">
        <v>0.51041666666666663</v>
      </c>
      <c r="AV48" s="71" t="s">
        <v>160</v>
      </c>
      <c r="AW48" s="71" t="s">
        <v>126</v>
      </c>
      <c r="AX48" s="71" t="s">
        <v>133</v>
      </c>
      <c r="AY48" s="71">
        <v>100</v>
      </c>
      <c r="AZ48" s="68"/>
      <c r="BB48" s="74">
        <v>43084</v>
      </c>
      <c r="BC48" s="75" t="s">
        <v>40</v>
      </c>
      <c r="BD48" s="75" t="s">
        <v>186</v>
      </c>
      <c r="BE48" s="76">
        <v>0.41527777777777874</v>
      </c>
      <c r="BF48" s="76">
        <v>0.42916666666666764</v>
      </c>
      <c r="BG48" s="75" t="s">
        <v>130</v>
      </c>
      <c r="BH48" s="75" t="s">
        <v>126</v>
      </c>
      <c r="BI48" s="75" t="s">
        <v>127</v>
      </c>
      <c r="BJ48" s="70">
        <v>80</v>
      </c>
      <c r="BK48" s="70">
        <v>0</v>
      </c>
      <c r="BL48" s="70">
        <v>0</v>
      </c>
      <c r="BM48" s="70">
        <v>74.5</v>
      </c>
      <c r="BN48" s="70">
        <v>74.5</v>
      </c>
      <c r="BO48" s="70">
        <v>9.26</v>
      </c>
      <c r="BP48" s="70">
        <v>9.19</v>
      </c>
      <c r="BQ48" s="70">
        <v>0</v>
      </c>
      <c r="BR48" s="70">
        <v>0</v>
      </c>
      <c r="BS48" s="70">
        <v>0</v>
      </c>
      <c r="BT48" s="70">
        <v>0</v>
      </c>
      <c r="BU48" s="70">
        <v>0.1</v>
      </c>
      <c r="BV48" s="70">
        <v>0.1</v>
      </c>
      <c r="BW48" s="70">
        <v>134.6</v>
      </c>
      <c r="BX48" s="70">
        <v>140.69999999999999</v>
      </c>
      <c r="BY48" s="70">
        <v>86.6</v>
      </c>
      <c r="BZ48" s="70">
        <v>90.4</v>
      </c>
      <c r="CA48" s="70">
        <v>6.5</v>
      </c>
      <c r="CB48" s="70">
        <v>6.3</v>
      </c>
    </row>
    <row r="49" spans="1:81" x14ac:dyDescent="0.25">
      <c r="A49" s="8">
        <v>44854</v>
      </c>
      <c r="B49" s="3" t="s">
        <v>41</v>
      </c>
      <c r="C49" s="3" t="s">
        <v>10</v>
      </c>
      <c r="D49" s="4">
        <v>9.1</v>
      </c>
      <c r="E49" s="4">
        <v>96.3</v>
      </c>
      <c r="F49" s="4">
        <v>11.1</v>
      </c>
      <c r="G49" s="4">
        <v>104.2</v>
      </c>
      <c r="H49" s="4">
        <v>149.6</v>
      </c>
      <c r="I49" s="4">
        <v>0.1</v>
      </c>
      <c r="J49" s="3">
        <v>15.5</v>
      </c>
      <c r="L49" s="61">
        <v>44159</v>
      </c>
      <c r="M49" s="60" t="s">
        <v>18</v>
      </c>
      <c r="N49" s="60" t="s">
        <v>136</v>
      </c>
      <c r="O49" s="64">
        <v>0.52083333333333337</v>
      </c>
      <c r="P49" s="64">
        <v>0.55208333333333337</v>
      </c>
      <c r="Q49" s="60" t="s">
        <v>130</v>
      </c>
      <c r="R49" s="60" t="s">
        <v>138</v>
      </c>
      <c r="S49" s="60" t="s">
        <v>131</v>
      </c>
      <c r="T49" s="60">
        <v>60</v>
      </c>
      <c r="U49" s="60"/>
      <c r="V49" s="60"/>
      <c r="W49" s="60">
        <v>89.1</v>
      </c>
      <c r="X49" s="60">
        <v>88.8</v>
      </c>
      <c r="Y49" s="60">
        <v>10.41</v>
      </c>
      <c r="Z49" s="60">
        <v>10.37</v>
      </c>
      <c r="AA49" s="66"/>
      <c r="AB49" s="66"/>
      <c r="AC49" s="60"/>
      <c r="AD49" s="60"/>
      <c r="AE49" s="60">
        <v>0</v>
      </c>
      <c r="AF49" s="60">
        <v>0</v>
      </c>
      <c r="AG49" s="60">
        <v>67.7</v>
      </c>
      <c r="AH49" s="60">
        <v>67.7</v>
      </c>
      <c r="AI49" s="60">
        <v>98.8</v>
      </c>
      <c r="AJ49" s="60">
        <v>98.8</v>
      </c>
      <c r="AK49" s="60">
        <v>8.5</v>
      </c>
      <c r="AL49" s="60">
        <v>8.5</v>
      </c>
      <c r="AM49" s="60"/>
      <c r="AN49" s="60" t="s">
        <v>128</v>
      </c>
      <c r="AO49" s="60" t="s">
        <v>129</v>
      </c>
      <c r="AQ49" s="69">
        <v>43773</v>
      </c>
      <c r="AR49" s="71" t="s">
        <v>18</v>
      </c>
      <c r="AS49" s="71" t="s">
        <v>124</v>
      </c>
      <c r="AT49" s="72">
        <v>0.54722222222222217</v>
      </c>
      <c r="AU49" s="72">
        <v>0.58750000000000002</v>
      </c>
      <c r="AV49" s="71" t="s">
        <v>160</v>
      </c>
      <c r="AW49" s="71" t="s">
        <v>126</v>
      </c>
      <c r="AX49" s="71" t="s">
        <v>127</v>
      </c>
      <c r="AY49" s="71">
        <v>95</v>
      </c>
      <c r="AZ49" s="68"/>
      <c r="BB49" s="74">
        <v>43084</v>
      </c>
      <c r="BC49" s="75" t="s">
        <v>41</v>
      </c>
      <c r="BD49" s="75" t="s">
        <v>186</v>
      </c>
      <c r="BE49" s="76">
        <v>0.45625000000000104</v>
      </c>
      <c r="BF49" s="76">
        <v>0.4645833333333344</v>
      </c>
      <c r="BG49" s="75" t="s">
        <v>130</v>
      </c>
      <c r="BH49" s="75" t="s">
        <v>126</v>
      </c>
      <c r="BI49" s="75" t="s">
        <v>127</v>
      </c>
      <c r="BJ49" s="70">
        <v>80</v>
      </c>
      <c r="BK49" s="70">
        <v>0</v>
      </c>
      <c r="BL49" s="70">
        <v>0</v>
      </c>
      <c r="BM49" s="70">
        <v>87</v>
      </c>
      <c r="BN49" s="70">
        <v>84.8</v>
      </c>
      <c r="BO49" s="70">
        <v>11.77</v>
      </c>
      <c r="BP49" s="70">
        <v>11.58</v>
      </c>
      <c r="BQ49" s="70">
        <v>0</v>
      </c>
      <c r="BR49" s="70">
        <v>0</v>
      </c>
      <c r="BS49" s="70">
        <v>0</v>
      </c>
      <c r="BT49" s="70">
        <v>0</v>
      </c>
      <c r="BU49" s="70">
        <v>0.1</v>
      </c>
      <c r="BV49" s="70">
        <v>0.1</v>
      </c>
      <c r="BW49" s="70">
        <v>125</v>
      </c>
      <c r="BX49" s="70">
        <v>125.3</v>
      </c>
      <c r="BY49" s="70">
        <v>71.8</v>
      </c>
      <c r="BZ49" s="70">
        <v>71.8</v>
      </c>
      <c r="CA49" s="70">
        <v>2.8</v>
      </c>
      <c r="CB49" s="70">
        <v>2.7</v>
      </c>
    </row>
    <row r="50" spans="1:81" x14ac:dyDescent="0.25">
      <c r="A50" s="9">
        <v>44859</v>
      </c>
      <c r="B50" s="3" t="s">
        <v>41</v>
      </c>
      <c r="C50" s="3" t="s">
        <v>14</v>
      </c>
      <c r="D50" s="4">
        <v>8.6</v>
      </c>
      <c r="E50" s="4">
        <v>93.8</v>
      </c>
      <c r="F50" s="5">
        <v>10.91</v>
      </c>
      <c r="G50" s="4">
        <v>118.4</v>
      </c>
      <c r="H50" s="4">
        <v>172.3</v>
      </c>
      <c r="I50" s="4">
        <v>0.1</v>
      </c>
      <c r="J50" s="3">
        <v>12.7</v>
      </c>
      <c r="L50" s="57">
        <v>44160</v>
      </c>
      <c r="M50" s="58" t="s">
        <v>42</v>
      </c>
      <c r="N50" s="58" t="s">
        <v>136</v>
      </c>
      <c r="O50" s="63">
        <v>0.45277777777777778</v>
      </c>
      <c r="P50" s="63">
        <v>0.48749999999999999</v>
      </c>
      <c r="Q50" s="58" t="s">
        <v>130</v>
      </c>
      <c r="R50" s="58" t="s">
        <v>126</v>
      </c>
      <c r="S50" s="58" t="s">
        <v>127</v>
      </c>
      <c r="T50" s="58">
        <v>70</v>
      </c>
      <c r="U50" s="58"/>
      <c r="V50" s="58"/>
      <c r="W50" s="58">
        <v>82.3</v>
      </c>
      <c r="X50" s="58">
        <v>81.8</v>
      </c>
      <c r="Y50" s="58">
        <v>9.98</v>
      </c>
      <c r="Z50" s="58">
        <v>9.98</v>
      </c>
      <c r="AA50" s="65"/>
      <c r="AB50" s="65"/>
      <c r="AC50" s="58"/>
      <c r="AD50" s="58"/>
      <c r="AE50" s="58">
        <v>0</v>
      </c>
      <c r="AF50" s="58">
        <v>0</v>
      </c>
      <c r="AG50" s="58">
        <v>69.400000000000006</v>
      </c>
      <c r="AH50" s="58">
        <v>69.3</v>
      </c>
      <c r="AI50" s="58">
        <v>105.8</v>
      </c>
      <c r="AJ50" s="58">
        <v>105.9</v>
      </c>
      <c r="AK50" s="58">
        <v>6.9</v>
      </c>
      <c r="AL50" s="58">
        <v>6.9</v>
      </c>
      <c r="AM50" s="58"/>
      <c r="AN50" s="58" t="s">
        <v>128</v>
      </c>
      <c r="AO50" s="58" t="s">
        <v>129</v>
      </c>
      <c r="AQ50" s="69">
        <v>43774</v>
      </c>
      <c r="AR50" s="71" t="s">
        <v>49</v>
      </c>
      <c r="AS50" s="71" t="s">
        <v>124</v>
      </c>
      <c r="AT50" s="72">
        <v>0.54583333333333328</v>
      </c>
      <c r="AU50" s="72">
        <v>0.57013888888888886</v>
      </c>
      <c r="AV50" s="71" t="s">
        <v>160</v>
      </c>
      <c r="AW50" s="71" t="s">
        <v>138</v>
      </c>
      <c r="AX50" s="71" t="s">
        <v>127</v>
      </c>
      <c r="AY50" s="71">
        <v>95</v>
      </c>
      <c r="AZ50" s="68"/>
      <c r="BB50" s="74">
        <v>43084</v>
      </c>
      <c r="BC50" s="75" t="s">
        <v>49</v>
      </c>
      <c r="BD50" s="75" t="s">
        <v>186</v>
      </c>
      <c r="BE50" s="76">
        <v>0.51597222222222339</v>
      </c>
      <c r="BF50" s="76">
        <v>0.54861111111111238</v>
      </c>
      <c r="BG50" s="75" t="s">
        <v>130</v>
      </c>
      <c r="BH50" s="75" t="s">
        <v>138</v>
      </c>
      <c r="BI50" s="75" t="s">
        <v>127</v>
      </c>
      <c r="BJ50" s="70">
        <v>70</v>
      </c>
      <c r="BK50" s="70">
        <v>0</v>
      </c>
      <c r="BL50" s="70">
        <v>0</v>
      </c>
      <c r="BM50" s="70">
        <v>86.5</v>
      </c>
      <c r="BN50" s="70">
        <v>85.7</v>
      </c>
      <c r="BO50" s="70">
        <v>10.7</v>
      </c>
      <c r="BP50" s="70">
        <v>10.61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98.6</v>
      </c>
      <c r="BX50" s="70">
        <v>98.6</v>
      </c>
      <c r="BY50" s="70">
        <v>63.1</v>
      </c>
      <c r="BZ50" s="70">
        <v>63.1</v>
      </c>
      <c r="CA50" s="70">
        <v>6.2</v>
      </c>
      <c r="CB50" s="70">
        <v>6.2</v>
      </c>
    </row>
    <row r="51" spans="1:81" x14ac:dyDescent="0.25">
      <c r="A51" s="9">
        <v>44859</v>
      </c>
      <c r="B51" s="3" t="s">
        <v>41</v>
      </c>
      <c r="C51" s="3" t="s">
        <v>14</v>
      </c>
      <c r="D51" s="4">
        <v>8.6</v>
      </c>
      <c r="E51" s="4">
        <v>93.4</v>
      </c>
      <c r="F51" s="5">
        <v>10.83</v>
      </c>
      <c r="G51" s="4">
        <v>118.4</v>
      </c>
      <c r="H51" s="4">
        <v>172.2</v>
      </c>
      <c r="I51" s="4">
        <v>0.1</v>
      </c>
      <c r="J51" s="3">
        <v>12.7</v>
      </c>
      <c r="L51" s="61">
        <v>44160</v>
      </c>
      <c r="M51" s="60" t="s">
        <v>44</v>
      </c>
      <c r="N51" s="60" t="s">
        <v>136</v>
      </c>
      <c r="O51" s="64">
        <v>0.55694444444444446</v>
      </c>
      <c r="P51" s="64">
        <v>0.57291666666666663</v>
      </c>
      <c r="Q51" s="60" t="s">
        <v>130</v>
      </c>
      <c r="R51" s="60" t="s">
        <v>138</v>
      </c>
      <c r="S51" s="60" t="s">
        <v>133</v>
      </c>
      <c r="T51" s="60">
        <v>80</v>
      </c>
      <c r="U51" s="60"/>
      <c r="V51" s="60"/>
      <c r="W51" s="60">
        <v>91.7</v>
      </c>
      <c r="X51" s="60">
        <v>91.3</v>
      </c>
      <c r="Y51" s="60">
        <v>11.1</v>
      </c>
      <c r="Z51" s="60">
        <v>11.11</v>
      </c>
      <c r="AA51" s="66"/>
      <c r="AB51" s="66"/>
      <c r="AC51" s="60"/>
      <c r="AD51" s="60"/>
      <c r="AE51" s="60">
        <v>0.1</v>
      </c>
      <c r="AF51" s="60">
        <v>0.1</v>
      </c>
      <c r="AG51" s="60">
        <v>88.8</v>
      </c>
      <c r="AH51" s="60">
        <v>88.8</v>
      </c>
      <c r="AI51" s="60">
        <v>135.4</v>
      </c>
      <c r="AJ51" s="60">
        <v>135.4</v>
      </c>
      <c r="AK51" s="60">
        <v>7</v>
      </c>
      <c r="AL51" s="60">
        <v>7</v>
      </c>
      <c r="AM51" s="60"/>
      <c r="AN51" s="60" t="s">
        <v>128</v>
      </c>
      <c r="AO51" s="60" t="s">
        <v>129</v>
      </c>
      <c r="AQ51" s="69">
        <v>43774</v>
      </c>
      <c r="AR51" s="71" t="s">
        <v>162</v>
      </c>
      <c r="AS51" s="71" t="s">
        <v>124</v>
      </c>
      <c r="AT51" s="72">
        <v>0.57152777777777775</v>
      </c>
      <c r="AU51" s="72">
        <v>0.61249999999999993</v>
      </c>
      <c r="AV51" s="71" t="s">
        <v>160</v>
      </c>
      <c r="AW51" s="71" t="s">
        <v>126</v>
      </c>
      <c r="AX51" s="71" t="s">
        <v>127</v>
      </c>
      <c r="AY51" s="71">
        <v>90</v>
      </c>
      <c r="AZ51" s="68"/>
      <c r="BB51" s="74">
        <v>43090</v>
      </c>
      <c r="BC51" s="75" t="s">
        <v>42</v>
      </c>
      <c r="BD51" s="75" t="s">
        <v>190</v>
      </c>
      <c r="BE51" s="76">
        <v>0.41666666666666763</v>
      </c>
      <c r="BF51" s="76">
        <v>0.46527777777777884</v>
      </c>
      <c r="BG51" s="75" t="s">
        <v>191</v>
      </c>
      <c r="BH51" s="75" t="s">
        <v>138</v>
      </c>
      <c r="BI51" s="75" t="s">
        <v>163</v>
      </c>
      <c r="BJ51" s="70">
        <v>70</v>
      </c>
      <c r="BK51" s="70">
        <v>0</v>
      </c>
      <c r="BL51" s="70">
        <v>0</v>
      </c>
      <c r="BM51" s="70">
        <v>48</v>
      </c>
      <c r="BN51" s="70">
        <v>37.700000000000003</v>
      </c>
      <c r="BO51" s="70">
        <v>6.25</v>
      </c>
      <c r="BP51" s="70">
        <v>5</v>
      </c>
      <c r="BQ51" s="70">
        <v>0</v>
      </c>
      <c r="BR51" s="70">
        <v>0</v>
      </c>
      <c r="BS51" s="70">
        <v>0</v>
      </c>
      <c r="BT51" s="70">
        <v>0</v>
      </c>
      <c r="BU51" s="70">
        <v>0</v>
      </c>
      <c r="BV51" s="70">
        <v>0</v>
      </c>
      <c r="BW51" s="70">
        <v>68.900000000000006</v>
      </c>
      <c r="BX51" s="70">
        <v>69</v>
      </c>
      <c r="BY51" s="70">
        <v>41</v>
      </c>
      <c r="BZ51" s="70">
        <v>41</v>
      </c>
      <c r="CA51" s="70">
        <v>3.9</v>
      </c>
      <c r="CB51" s="70">
        <v>3.7</v>
      </c>
      <c r="CC51" s="75" t="s">
        <v>192</v>
      </c>
    </row>
    <row r="52" spans="1:81" x14ac:dyDescent="0.25">
      <c r="A52" s="8">
        <v>44873</v>
      </c>
      <c r="B52" s="3" t="s">
        <v>41</v>
      </c>
      <c r="C52" s="3" t="s">
        <v>10</v>
      </c>
      <c r="D52" s="4">
        <v>5.0999999999999996</v>
      </c>
      <c r="E52" s="4">
        <v>107.8</v>
      </c>
      <c r="F52" s="4">
        <v>13.78</v>
      </c>
      <c r="G52" s="4">
        <v>91.2</v>
      </c>
      <c r="H52" s="4">
        <v>147.80000000000001</v>
      </c>
      <c r="I52" s="4">
        <v>0.1</v>
      </c>
      <c r="J52" s="3">
        <v>8.8000000000000007</v>
      </c>
      <c r="L52" s="57">
        <v>44160</v>
      </c>
      <c r="M52" s="58" t="s">
        <v>83</v>
      </c>
      <c r="N52" s="58" t="s">
        <v>136</v>
      </c>
      <c r="O52" s="63">
        <v>0.58888888888888891</v>
      </c>
      <c r="P52" s="63">
        <v>0.59166666666666667</v>
      </c>
      <c r="Q52" s="58" t="s">
        <v>130</v>
      </c>
      <c r="R52" s="58" t="s">
        <v>126</v>
      </c>
      <c r="S52" s="58" t="s">
        <v>133</v>
      </c>
      <c r="T52" s="58">
        <v>95</v>
      </c>
      <c r="U52" s="58"/>
      <c r="V52" s="58"/>
      <c r="W52" s="58">
        <v>97.1</v>
      </c>
      <c r="X52" s="58">
        <v>96.9</v>
      </c>
      <c r="Y52" s="58">
        <v>11.43</v>
      </c>
      <c r="Z52" s="58">
        <v>11.41</v>
      </c>
      <c r="AA52" s="65"/>
      <c r="AB52" s="65"/>
      <c r="AC52" s="58"/>
      <c r="AD52" s="58"/>
      <c r="AE52" s="58">
        <v>0.1</v>
      </c>
      <c r="AF52" s="58">
        <v>0.1</v>
      </c>
      <c r="AG52" s="58">
        <v>158.5</v>
      </c>
      <c r="AH52" s="58">
        <v>158.5</v>
      </c>
      <c r="AI52" s="58">
        <v>233.5</v>
      </c>
      <c r="AJ52" s="58">
        <v>233.5</v>
      </c>
      <c r="AK52" s="58">
        <v>8.1999999999999993</v>
      </c>
      <c r="AL52" s="58">
        <v>8.1999999999999993</v>
      </c>
      <c r="AM52" s="58"/>
      <c r="AN52" s="58" t="s">
        <v>128</v>
      </c>
      <c r="AO52" s="58" t="s">
        <v>129</v>
      </c>
      <c r="AQ52" s="69">
        <v>43776</v>
      </c>
      <c r="AR52" s="71" t="s">
        <v>30</v>
      </c>
      <c r="AS52" s="71" t="s">
        <v>124</v>
      </c>
      <c r="AT52" s="72">
        <v>0.4861111111111111</v>
      </c>
      <c r="AU52" s="72">
        <v>0.49652777777777773</v>
      </c>
      <c r="AV52" s="71" t="s">
        <v>160</v>
      </c>
      <c r="AW52" s="71" t="s">
        <v>126</v>
      </c>
      <c r="AX52" s="71" t="s">
        <v>163</v>
      </c>
      <c r="AY52" s="71">
        <v>90</v>
      </c>
      <c r="AZ52" s="68"/>
      <c r="BB52" s="74">
        <v>43090</v>
      </c>
      <c r="BC52" s="75" t="s">
        <v>83</v>
      </c>
      <c r="BD52" s="75" t="s">
        <v>190</v>
      </c>
      <c r="BE52" s="76">
        <v>0.48194444444444556</v>
      </c>
      <c r="BF52" s="76">
        <v>0.48680555555555671</v>
      </c>
      <c r="BG52" s="75" t="s">
        <v>130</v>
      </c>
      <c r="BH52" s="75" t="s">
        <v>138</v>
      </c>
      <c r="BI52" s="75" t="s">
        <v>127</v>
      </c>
      <c r="BJ52" s="70">
        <v>90</v>
      </c>
      <c r="BK52" s="70">
        <v>0</v>
      </c>
      <c r="BL52" s="70">
        <v>0</v>
      </c>
      <c r="BM52" s="70">
        <v>87.2</v>
      </c>
      <c r="BN52" s="70">
        <v>86.2</v>
      </c>
      <c r="BO52" s="70">
        <v>10.93</v>
      </c>
      <c r="BP52" s="70">
        <v>10.82</v>
      </c>
      <c r="BQ52" s="70">
        <v>0</v>
      </c>
      <c r="BR52" s="70">
        <v>0</v>
      </c>
      <c r="BS52" s="70">
        <v>0</v>
      </c>
      <c r="BT52" s="70">
        <v>0</v>
      </c>
      <c r="BU52" s="70">
        <v>0.1</v>
      </c>
      <c r="BV52" s="70">
        <v>0.1</v>
      </c>
      <c r="BW52" s="70">
        <v>189.4</v>
      </c>
      <c r="BX52" s="70">
        <v>189.5</v>
      </c>
      <c r="BY52" s="70">
        <v>119.4</v>
      </c>
      <c r="BZ52" s="70">
        <v>119.3</v>
      </c>
      <c r="CA52" s="70">
        <v>5.6</v>
      </c>
      <c r="CB52" s="70">
        <v>5.6</v>
      </c>
    </row>
    <row r="53" spans="1:81" x14ac:dyDescent="0.25">
      <c r="A53" s="8">
        <v>44873</v>
      </c>
      <c r="B53" s="3" t="s">
        <v>41</v>
      </c>
      <c r="C53" s="3" t="s">
        <v>10</v>
      </c>
      <c r="D53" s="4">
        <v>4.9000000000000004</v>
      </c>
      <c r="E53" s="4">
        <v>108.2</v>
      </c>
      <c r="F53" s="4">
        <v>13.88</v>
      </c>
      <c r="G53" s="4">
        <v>91</v>
      </c>
      <c r="H53" s="4">
        <v>148.30000000000001</v>
      </c>
      <c r="I53" s="4">
        <v>0.1</v>
      </c>
      <c r="J53" s="3">
        <v>8.8000000000000007</v>
      </c>
      <c r="L53" s="61">
        <v>44160</v>
      </c>
      <c r="M53" s="60" t="s">
        <v>40</v>
      </c>
      <c r="N53" s="60" t="s">
        <v>136</v>
      </c>
      <c r="O53" s="64">
        <v>0.6166666666666667</v>
      </c>
      <c r="P53" s="64">
        <v>0.63055555555555554</v>
      </c>
      <c r="Q53" s="60" t="s">
        <v>130</v>
      </c>
      <c r="R53" s="60" t="s">
        <v>126</v>
      </c>
      <c r="S53" s="60" t="s">
        <v>127</v>
      </c>
      <c r="T53" s="60">
        <v>70</v>
      </c>
      <c r="U53" s="60"/>
      <c r="V53" s="60"/>
      <c r="W53" s="60">
        <v>75.2</v>
      </c>
      <c r="X53" s="60">
        <v>75.2</v>
      </c>
      <c r="Y53" s="60">
        <v>8.9600000000000009</v>
      </c>
      <c r="Z53" s="60">
        <v>8.9700000000000006</v>
      </c>
      <c r="AA53" s="66"/>
      <c r="AB53" s="66"/>
      <c r="AC53" s="60"/>
      <c r="AD53" s="60"/>
      <c r="AE53" s="60">
        <v>0.1</v>
      </c>
      <c r="AF53" s="60">
        <v>0.1</v>
      </c>
      <c r="AG53" s="60">
        <v>94</v>
      </c>
      <c r="AH53" s="60">
        <v>93.9</v>
      </c>
      <c r="AI53" s="60">
        <v>140.30000000000001</v>
      </c>
      <c r="AJ53" s="60">
        <v>140.1</v>
      </c>
      <c r="AK53" s="60">
        <v>7.7</v>
      </c>
      <c r="AL53" s="60">
        <v>7.7</v>
      </c>
      <c r="AM53" s="60"/>
      <c r="AN53" s="60" t="s">
        <v>128</v>
      </c>
      <c r="AO53" s="60" t="s">
        <v>129</v>
      </c>
      <c r="AQ53" s="69">
        <v>43776</v>
      </c>
      <c r="AR53" s="71" t="s">
        <v>41</v>
      </c>
      <c r="AS53" s="71" t="s">
        <v>124</v>
      </c>
      <c r="AT53" s="72">
        <v>0.53819444444444442</v>
      </c>
      <c r="AU53" s="72">
        <v>0.55208333333333337</v>
      </c>
      <c r="AV53" s="68"/>
      <c r="AW53" s="68"/>
      <c r="AX53" s="71" t="s">
        <v>133</v>
      </c>
      <c r="AY53" s="71">
        <v>95</v>
      </c>
      <c r="AZ53" s="68"/>
      <c r="BB53" s="74">
        <v>43104</v>
      </c>
      <c r="BC53" s="75" t="s">
        <v>49</v>
      </c>
      <c r="BD53" s="75" t="s">
        <v>189</v>
      </c>
      <c r="BE53" s="76">
        <v>0.44791666666666768</v>
      </c>
      <c r="BF53" s="76">
        <v>0.49305555555555669</v>
      </c>
      <c r="BG53" s="75" t="s">
        <v>130</v>
      </c>
      <c r="BH53" s="75" t="s">
        <v>138</v>
      </c>
      <c r="BI53" s="75" t="s">
        <v>133</v>
      </c>
      <c r="BJ53" s="70">
        <v>70</v>
      </c>
      <c r="BK53" s="70">
        <v>0</v>
      </c>
      <c r="BL53" s="70">
        <v>0</v>
      </c>
      <c r="BM53" s="70">
        <v>87.7</v>
      </c>
      <c r="BN53" s="70">
        <v>85.9</v>
      </c>
      <c r="BO53" s="70">
        <v>11.02</v>
      </c>
      <c r="BP53" s="70">
        <v>10.82</v>
      </c>
      <c r="BQ53" s="70">
        <v>0</v>
      </c>
      <c r="BR53" s="70">
        <v>0</v>
      </c>
      <c r="BS53" s="70">
        <v>0</v>
      </c>
      <c r="BT53" s="70">
        <v>0</v>
      </c>
      <c r="BU53" s="70">
        <v>0</v>
      </c>
      <c r="BV53" s="70">
        <v>0</v>
      </c>
      <c r="BW53" s="70">
        <v>85.6</v>
      </c>
      <c r="BX53" s="70">
        <v>85.8</v>
      </c>
      <c r="BY53" s="70">
        <v>53.3</v>
      </c>
      <c r="BZ53" s="70">
        <v>53.3</v>
      </c>
      <c r="CA53" s="70">
        <v>5.3</v>
      </c>
      <c r="CB53" s="70">
        <v>5.2</v>
      </c>
    </row>
    <row r="54" spans="1:81" x14ac:dyDescent="0.25">
      <c r="A54" s="8">
        <v>44882</v>
      </c>
      <c r="B54" s="3" t="s">
        <v>41</v>
      </c>
      <c r="C54" s="3" t="s">
        <v>10</v>
      </c>
      <c r="D54" s="4">
        <v>2.7</v>
      </c>
      <c r="E54" s="4">
        <v>101.4</v>
      </c>
      <c r="F54" s="4">
        <v>13.76</v>
      </c>
      <c r="G54" s="4">
        <v>87.5</v>
      </c>
      <c r="H54" s="4">
        <v>752.6</v>
      </c>
      <c r="I54" s="4">
        <v>0.1</v>
      </c>
      <c r="J54" s="3">
        <v>7.2</v>
      </c>
      <c r="L54" s="57">
        <v>44162</v>
      </c>
      <c r="M54" s="58" t="s">
        <v>41</v>
      </c>
      <c r="N54" s="58" t="s">
        <v>136</v>
      </c>
      <c r="O54" s="63">
        <v>0.41736111111111113</v>
      </c>
      <c r="P54" s="63">
        <v>0.42638888888888887</v>
      </c>
      <c r="Q54" s="58" t="s">
        <v>130</v>
      </c>
      <c r="R54" s="58" t="s">
        <v>126</v>
      </c>
      <c r="S54" s="58" t="s">
        <v>127</v>
      </c>
      <c r="T54" s="58">
        <v>70</v>
      </c>
      <c r="U54" s="58"/>
      <c r="V54" s="58"/>
      <c r="W54" s="58">
        <v>98.9</v>
      </c>
      <c r="X54" s="58">
        <v>98.6</v>
      </c>
      <c r="Y54" s="58">
        <v>12.4</v>
      </c>
      <c r="Z54" s="58">
        <v>12.39</v>
      </c>
      <c r="AA54" s="65"/>
      <c r="AB54" s="65"/>
      <c r="AC54" s="58"/>
      <c r="AD54" s="58"/>
      <c r="AE54" s="58">
        <v>0.1</v>
      </c>
      <c r="AF54" s="58">
        <v>0.1</v>
      </c>
      <c r="AG54" s="58">
        <v>91.8</v>
      </c>
      <c r="AH54" s="58">
        <v>91.9</v>
      </c>
      <c r="AI54" s="58">
        <v>145.6</v>
      </c>
      <c r="AJ54" s="58">
        <v>145.9</v>
      </c>
      <c r="AK54" s="58">
        <v>5.7</v>
      </c>
      <c r="AL54" s="58">
        <v>5.7</v>
      </c>
      <c r="AM54" s="58"/>
      <c r="AN54" s="58" t="s">
        <v>128</v>
      </c>
      <c r="AO54" s="58" t="s">
        <v>129</v>
      </c>
      <c r="AQ54" s="69">
        <v>43776</v>
      </c>
      <c r="AR54" s="71" t="s">
        <v>40</v>
      </c>
      <c r="AS54" s="71" t="s">
        <v>124</v>
      </c>
      <c r="AT54" s="72">
        <v>0.57291666666666663</v>
      </c>
      <c r="AU54" s="72">
        <v>0.58611111111111114</v>
      </c>
      <c r="AV54" s="71" t="s">
        <v>160</v>
      </c>
      <c r="AW54" s="71" t="s">
        <v>126</v>
      </c>
      <c r="AX54" s="71" t="s">
        <v>163</v>
      </c>
      <c r="AY54" s="71">
        <v>90</v>
      </c>
      <c r="AZ54" s="68"/>
      <c r="BB54" s="74">
        <v>43104</v>
      </c>
      <c r="BC54" s="75" t="s">
        <v>162</v>
      </c>
      <c r="BD54" s="75" t="s">
        <v>189</v>
      </c>
      <c r="BE54" s="76">
        <v>0.49305555555555669</v>
      </c>
      <c r="BF54" s="76">
        <v>0.53125000000000122</v>
      </c>
      <c r="BG54" s="75" t="s">
        <v>130</v>
      </c>
      <c r="BH54" s="75" t="s">
        <v>138</v>
      </c>
      <c r="BI54" s="75" t="s">
        <v>133</v>
      </c>
      <c r="BJ54" s="70">
        <v>70</v>
      </c>
      <c r="BK54" s="70">
        <v>0</v>
      </c>
      <c r="BL54" s="70">
        <v>0</v>
      </c>
      <c r="BM54" s="70">
        <v>86.5</v>
      </c>
      <c r="BN54" s="70">
        <v>86.5</v>
      </c>
      <c r="BO54" s="70">
        <v>10.83</v>
      </c>
      <c r="BP54" s="70">
        <v>10.83</v>
      </c>
      <c r="BQ54" s="70">
        <v>0</v>
      </c>
      <c r="BR54" s="70">
        <v>0</v>
      </c>
      <c r="BS54" s="70">
        <v>0</v>
      </c>
      <c r="BT54" s="70">
        <v>0</v>
      </c>
      <c r="BU54" s="70">
        <v>0</v>
      </c>
      <c r="BV54" s="70">
        <v>0</v>
      </c>
      <c r="BW54" s="70">
        <v>86.7</v>
      </c>
      <c r="BX54" s="70">
        <v>86.8</v>
      </c>
      <c r="BY54" s="70">
        <v>54.9</v>
      </c>
      <c r="BZ54" s="70">
        <v>54.9</v>
      </c>
      <c r="CA54" s="70">
        <v>5.7</v>
      </c>
      <c r="CB54" s="70">
        <v>5.7</v>
      </c>
    </row>
    <row r="55" spans="1:81" x14ac:dyDescent="0.25">
      <c r="A55" s="8">
        <v>44882</v>
      </c>
      <c r="B55" s="3" t="s">
        <v>41</v>
      </c>
      <c r="C55" s="3" t="s">
        <v>10</v>
      </c>
      <c r="D55" s="4">
        <v>2.7</v>
      </c>
      <c r="E55" s="4">
        <v>101.4</v>
      </c>
      <c r="F55" s="4">
        <v>13.77</v>
      </c>
      <c r="G55" s="4">
        <v>87.5</v>
      </c>
      <c r="H55" s="4">
        <v>152.69999999999999</v>
      </c>
      <c r="I55" s="4">
        <v>0.1</v>
      </c>
      <c r="J55" s="3">
        <v>7.2</v>
      </c>
      <c r="L55" s="61">
        <v>44162</v>
      </c>
      <c r="M55" s="60" t="s">
        <v>49</v>
      </c>
      <c r="N55" s="60" t="s">
        <v>136</v>
      </c>
      <c r="O55" s="64">
        <v>0.47500000000000003</v>
      </c>
      <c r="P55" s="64">
        <v>0.49444444444444446</v>
      </c>
      <c r="Q55" s="60" t="s">
        <v>130</v>
      </c>
      <c r="R55" s="60" t="s">
        <v>126</v>
      </c>
      <c r="S55" s="60" t="s">
        <v>127</v>
      </c>
      <c r="T55" s="60">
        <v>75</v>
      </c>
      <c r="U55" s="60"/>
      <c r="V55" s="60"/>
      <c r="W55" s="60">
        <v>89.9</v>
      </c>
      <c r="X55" s="60">
        <v>88.5</v>
      </c>
      <c r="Y55" s="60">
        <v>10.61</v>
      </c>
      <c r="Z55" s="60">
        <v>10.65</v>
      </c>
      <c r="AA55" s="66"/>
      <c r="AB55" s="66"/>
      <c r="AC55" s="60"/>
      <c r="AD55" s="60"/>
      <c r="AE55" s="60">
        <v>0.1</v>
      </c>
      <c r="AF55" s="60">
        <v>0.1</v>
      </c>
      <c r="AG55" s="60">
        <v>81.400000000000006</v>
      </c>
      <c r="AH55" s="60">
        <v>81.400000000000006</v>
      </c>
      <c r="AI55" s="60">
        <v>121.7</v>
      </c>
      <c r="AJ55" s="60">
        <v>121.7</v>
      </c>
      <c r="AK55" s="60">
        <v>7.7</v>
      </c>
      <c r="AL55" s="60">
        <v>7.7</v>
      </c>
      <c r="AM55" s="60"/>
      <c r="AN55" s="60" t="s">
        <v>128</v>
      </c>
      <c r="AO55" s="60" t="s">
        <v>129</v>
      </c>
      <c r="AQ55" s="69">
        <v>43776</v>
      </c>
      <c r="AR55" s="71" t="s">
        <v>42</v>
      </c>
      <c r="AS55" s="71" t="s">
        <v>124</v>
      </c>
      <c r="AT55" s="72">
        <v>0.61458333333333337</v>
      </c>
      <c r="AU55" s="72">
        <v>0.63611111111111118</v>
      </c>
      <c r="AV55" s="71" t="s">
        <v>160</v>
      </c>
      <c r="AW55" s="71" t="s">
        <v>126</v>
      </c>
      <c r="AX55" s="71" t="s">
        <v>163</v>
      </c>
      <c r="AY55" s="71">
        <v>90</v>
      </c>
      <c r="AZ55" s="68"/>
      <c r="BB55" s="74">
        <v>43104</v>
      </c>
      <c r="BC55" s="75" t="s">
        <v>193</v>
      </c>
      <c r="BD55" s="75" t="s">
        <v>189</v>
      </c>
      <c r="BE55" s="76">
        <v>0.57986111111111249</v>
      </c>
      <c r="BF55" s="76">
        <v>0.59236111111111245</v>
      </c>
      <c r="BG55" s="75" t="s">
        <v>130</v>
      </c>
      <c r="BH55" s="75" t="s">
        <v>126</v>
      </c>
      <c r="BI55" s="75" t="s">
        <v>133</v>
      </c>
      <c r="BJ55" s="70">
        <v>80</v>
      </c>
      <c r="BK55" s="70">
        <v>0</v>
      </c>
      <c r="BL55" s="70">
        <v>0</v>
      </c>
      <c r="BM55" s="70">
        <v>86.7</v>
      </c>
      <c r="BN55" s="70">
        <v>85.7</v>
      </c>
      <c r="BO55" s="70">
        <v>11.31</v>
      </c>
      <c r="BP55" s="70">
        <v>11.21</v>
      </c>
      <c r="BQ55" s="70">
        <v>0</v>
      </c>
      <c r="BR55" s="70">
        <v>0</v>
      </c>
      <c r="BS55" s="70">
        <v>0</v>
      </c>
      <c r="BT55" s="70">
        <v>0</v>
      </c>
      <c r="BU55" s="70">
        <v>0</v>
      </c>
      <c r="BV55" s="70">
        <v>0</v>
      </c>
      <c r="BW55" s="70">
        <v>102.8</v>
      </c>
      <c r="BX55" s="70">
        <v>102.8</v>
      </c>
      <c r="BY55" s="70">
        <v>61.8</v>
      </c>
      <c r="BZ55" s="70">
        <v>61.7</v>
      </c>
      <c r="CA55" s="70">
        <v>4.0999999999999996</v>
      </c>
      <c r="CB55" s="70">
        <v>4.0999999999999996</v>
      </c>
    </row>
    <row r="56" spans="1:81" x14ac:dyDescent="0.25">
      <c r="A56" s="8">
        <v>44887</v>
      </c>
      <c r="B56" s="3" t="s">
        <v>41</v>
      </c>
      <c r="C56" s="3" t="s">
        <v>10</v>
      </c>
      <c r="D56" s="4">
        <v>3.8</v>
      </c>
      <c r="E56" s="4">
        <v>106.5</v>
      </c>
      <c r="F56" s="4">
        <v>14.08</v>
      </c>
      <c r="G56" s="4">
        <v>90.5</v>
      </c>
      <c r="H56" s="4">
        <v>152.4</v>
      </c>
      <c r="I56" s="4">
        <v>0.1</v>
      </c>
      <c r="J56" s="3">
        <v>8.8000000000000007</v>
      </c>
      <c r="L56" s="57">
        <v>44162</v>
      </c>
      <c r="M56" s="58" t="s">
        <v>63</v>
      </c>
      <c r="N56" s="58" t="s">
        <v>136</v>
      </c>
      <c r="O56" s="63">
        <v>0.50069444444444444</v>
      </c>
      <c r="P56" s="63">
        <v>0.54236111111111118</v>
      </c>
      <c r="Q56" s="58" t="s">
        <v>130</v>
      </c>
      <c r="R56" s="58" t="s">
        <v>138</v>
      </c>
      <c r="S56" s="58" t="s">
        <v>127</v>
      </c>
      <c r="T56" s="58">
        <v>70</v>
      </c>
      <c r="U56" s="58"/>
      <c r="V56" s="58"/>
      <c r="W56" s="58">
        <v>91.7</v>
      </c>
      <c r="X56" s="58">
        <v>91.8</v>
      </c>
      <c r="Y56" s="58">
        <v>10.8</v>
      </c>
      <c r="Z56" s="58">
        <v>10.79</v>
      </c>
      <c r="AA56" s="65"/>
      <c r="AB56" s="65"/>
      <c r="AC56" s="58"/>
      <c r="AD56" s="58"/>
      <c r="AE56" s="58">
        <v>0.1</v>
      </c>
      <c r="AF56" s="58">
        <v>0.1</v>
      </c>
      <c r="AG56" s="58">
        <v>84.1</v>
      </c>
      <c r="AH56" s="58">
        <v>84.1</v>
      </c>
      <c r="AI56" s="58">
        <v>123.6</v>
      </c>
      <c r="AJ56" s="58">
        <v>123.5</v>
      </c>
      <c r="AK56" s="58">
        <v>8.3000000000000007</v>
      </c>
      <c r="AL56" s="58">
        <v>8.3000000000000007</v>
      </c>
      <c r="AM56" s="58"/>
      <c r="AN56" s="58" t="s">
        <v>128</v>
      </c>
      <c r="AO56" s="58" t="s">
        <v>129</v>
      </c>
      <c r="AQ56" s="69">
        <v>43776</v>
      </c>
      <c r="AR56" s="71" t="s">
        <v>83</v>
      </c>
      <c r="AS56" s="71" t="s">
        <v>124</v>
      </c>
      <c r="AT56" s="72">
        <v>0.67013888888888884</v>
      </c>
      <c r="AU56" s="72">
        <v>0.6743055555555556</v>
      </c>
      <c r="AV56" s="71" t="s">
        <v>160</v>
      </c>
      <c r="AW56" s="71" t="s">
        <v>126</v>
      </c>
      <c r="AX56" s="71" t="s">
        <v>133</v>
      </c>
      <c r="AY56" s="71">
        <v>100</v>
      </c>
      <c r="AZ56" s="68"/>
      <c r="BB56" s="74">
        <v>43104</v>
      </c>
      <c r="BC56" s="75" t="s">
        <v>30</v>
      </c>
      <c r="BD56" s="75" t="s">
        <v>189</v>
      </c>
      <c r="BE56" s="76">
        <v>0.59236111111111245</v>
      </c>
      <c r="BF56" s="76">
        <v>0.59375000000000133</v>
      </c>
      <c r="BG56" s="75" t="s">
        <v>130</v>
      </c>
      <c r="BH56" s="75" t="s">
        <v>126</v>
      </c>
      <c r="BI56" s="75" t="s">
        <v>133</v>
      </c>
      <c r="BJ56" s="70">
        <v>50</v>
      </c>
      <c r="BK56" s="70">
        <v>0</v>
      </c>
      <c r="BL56" s="70">
        <v>0</v>
      </c>
      <c r="BM56" s="70">
        <v>68.599999999999994</v>
      </c>
      <c r="BN56" s="70">
        <v>70.099999999999994</v>
      </c>
      <c r="BO56" s="70">
        <v>9.0399999999999991</v>
      </c>
      <c r="BP56" s="70">
        <v>9.3000000000000007</v>
      </c>
      <c r="BQ56" s="70">
        <v>0</v>
      </c>
      <c r="BR56" s="70">
        <v>0</v>
      </c>
      <c r="BS56" s="70">
        <v>0</v>
      </c>
      <c r="BT56" s="70">
        <v>0</v>
      </c>
      <c r="BU56" s="70">
        <v>0.1</v>
      </c>
      <c r="BV56" s="70">
        <v>0.1</v>
      </c>
      <c r="BW56" s="70">
        <v>129.30000000000001</v>
      </c>
      <c r="BX56" s="70">
        <v>129.30000000000001</v>
      </c>
      <c r="BY56" s="70">
        <v>75.7</v>
      </c>
      <c r="BZ56" s="70">
        <v>75.599999999999994</v>
      </c>
      <c r="CA56" s="70">
        <v>3.3</v>
      </c>
      <c r="CB56" s="70">
        <v>3.3</v>
      </c>
      <c r="CC56" s="75" t="s">
        <v>194</v>
      </c>
    </row>
    <row r="57" spans="1:81" x14ac:dyDescent="0.25">
      <c r="A57" s="8">
        <v>44887</v>
      </c>
      <c r="B57" s="3" t="s">
        <v>41</v>
      </c>
      <c r="C57" s="3" t="s">
        <v>10</v>
      </c>
      <c r="D57" s="4">
        <v>3.7</v>
      </c>
      <c r="E57" s="4">
        <v>106.8</v>
      </c>
      <c r="F57" s="4">
        <v>14.08</v>
      </c>
      <c r="G57" s="4">
        <v>90.4</v>
      </c>
      <c r="H57" s="4">
        <v>152.69999999999999</v>
      </c>
      <c r="I57" s="4">
        <v>0.1</v>
      </c>
      <c r="J57" s="3">
        <v>8.8000000000000007</v>
      </c>
      <c r="L57" s="61">
        <v>44162</v>
      </c>
      <c r="M57" s="60" t="s">
        <v>30</v>
      </c>
      <c r="N57" s="60" t="s">
        <v>136</v>
      </c>
      <c r="O57" s="64">
        <v>0.6069444444444444</v>
      </c>
      <c r="P57" s="64">
        <v>0.62013888888888891</v>
      </c>
      <c r="Q57" s="60" t="s">
        <v>130</v>
      </c>
      <c r="R57" s="60" t="s">
        <v>126</v>
      </c>
      <c r="S57" s="60" t="s">
        <v>133</v>
      </c>
      <c r="T57" s="60">
        <v>75</v>
      </c>
      <c r="U57" s="60"/>
      <c r="V57" s="60"/>
      <c r="W57" s="60">
        <v>83.5</v>
      </c>
      <c r="X57" s="60">
        <v>83.6</v>
      </c>
      <c r="Y57" s="60">
        <v>10.01</v>
      </c>
      <c r="Z57" s="60">
        <v>10.08</v>
      </c>
      <c r="AA57" s="66"/>
      <c r="AB57" s="66"/>
      <c r="AC57" s="60"/>
      <c r="AD57" s="60"/>
      <c r="AE57" s="60">
        <v>0.1</v>
      </c>
      <c r="AF57" s="60">
        <v>0.1</v>
      </c>
      <c r="AG57" s="60">
        <v>132</v>
      </c>
      <c r="AH57" s="60">
        <v>131.9</v>
      </c>
      <c r="AI57" s="60">
        <v>199.4</v>
      </c>
      <c r="AJ57" s="60">
        <v>199.7</v>
      </c>
      <c r="AK57" s="60">
        <v>7.3</v>
      </c>
      <c r="AL57" s="60">
        <v>7.2</v>
      </c>
      <c r="AM57" s="60"/>
      <c r="AN57" s="60" t="s">
        <v>128</v>
      </c>
      <c r="AO57" s="60" t="s">
        <v>129</v>
      </c>
      <c r="AQ57" s="69">
        <v>43782</v>
      </c>
      <c r="AR57" s="71" t="s">
        <v>30</v>
      </c>
      <c r="AS57" s="71" t="s">
        <v>124</v>
      </c>
      <c r="AT57" s="72">
        <v>0.4777777777777778</v>
      </c>
      <c r="AU57" s="72">
        <v>0.48749999999999999</v>
      </c>
      <c r="AV57" s="71" t="s">
        <v>160</v>
      </c>
      <c r="AW57" s="71" t="s">
        <v>126</v>
      </c>
      <c r="AX57" s="71" t="s">
        <v>127</v>
      </c>
      <c r="AY57" s="71">
        <v>90</v>
      </c>
      <c r="AZ57" s="68"/>
      <c r="BB57" s="74">
        <v>43104</v>
      </c>
      <c r="BC57" s="75" t="s">
        <v>41</v>
      </c>
      <c r="BD57" s="75" t="s">
        <v>189</v>
      </c>
      <c r="BE57" s="76">
        <v>0.61458333333333481</v>
      </c>
      <c r="BF57" s="76">
        <v>0.63194444444444586</v>
      </c>
      <c r="BG57" s="75" t="s">
        <v>130</v>
      </c>
      <c r="BH57" s="75" t="s">
        <v>126</v>
      </c>
      <c r="BI57" s="75" t="s">
        <v>127</v>
      </c>
      <c r="BJ57" s="70">
        <v>80</v>
      </c>
      <c r="BK57" s="70">
        <v>0</v>
      </c>
      <c r="BL57" s="70">
        <v>0</v>
      </c>
      <c r="BM57" s="70">
        <v>91.8</v>
      </c>
      <c r="BN57" s="70">
        <v>91</v>
      </c>
      <c r="BO57" s="70">
        <v>12.45</v>
      </c>
      <c r="BP57" s="70">
        <v>12.36</v>
      </c>
      <c r="BQ57" s="70">
        <v>0</v>
      </c>
      <c r="BR57" s="70">
        <v>0</v>
      </c>
      <c r="BS57" s="70">
        <v>0</v>
      </c>
      <c r="BT57" s="70">
        <v>0</v>
      </c>
      <c r="BU57" s="70">
        <v>0.1</v>
      </c>
      <c r="BV57" s="70">
        <v>0.1</v>
      </c>
      <c r="BW57" s="70">
        <v>112.6</v>
      </c>
      <c r="BX57" s="70">
        <v>112.6</v>
      </c>
      <c r="BY57" s="70">
        <v>64.5</v>
      </c>
      <c r="BZ57" s="70">
        <v>64.400000000000006</v>
      </c>
      <c r="CA57" s="70">
        <v>2.6</v>
      </c>
      <c r="CB57" s="70">
        <v>2.6</v>
      </c>
      <c r="CC57" s="75" t="s">
        <v>195</v>
      </c>
    </row>
    <row r="58" spans="1:81" x14ac:dyDescent="0.25">
      <c r="A58" s="8">
        <v>44903</v>
      </c>
      <c r="B58" s="3" t="s">
        <v>41</v>
      </c>
      <c r="C58" s="3" t="s">
        <v>15</v>
      </c>
      <c r="D58" s="4">
        <v>3.7</v>
      </c>
      <c r="E58" s="4">
        <v>99.4</v>
      </c>
      <c r="F58" s="4">
        <v>13.19</v>
      </c>
      <c r="G58" s="4">
        <v>86.4</v>
      </c>
      <c r="H58" s="4">
        <v>145.9</v>
      </c>
      <c r="I58" s="4">
        <v>0.1</v>
      </c>
      <c r="J58" s="3">
        <v>6.6</v>
      </c>
      <c r="L58" s="57">
        <v>44166</v>
      </c>
      <c r="M58" s="58" t="s">
        <v>40</v>
      </c>
      <c r="N58" s="58" t="s">
        <v>136</v>
      </c>
      <c r="O58" s="63">
        <v>0.42638888888888887</v>
      </c>
      <c r="P58" s="63">
        <v>0.44305555555555554</v>
      </c>
      <c r="Q58" s="58" t="s">
        <v>130</v>
      </c>
      <c r="R58" s="58" t="s">
        <v>126</v>
      </c>
      <c r="S58" s="58" t="s">
        <v>127</v>
      </c>
      <c r="T58" s="58">
        <v>75</v>
      </c>
      <c r="U58" s="58"/>
      <c r="V58" s="58"/>
      <c r="W58" s="58">
        <v>76.2</v>
      </c>
      <c r="X58" s="58">
        <v>75.900000000000006</v>
      </c>
      <c r="Y58" s="58">
        <v>9.51</v>
      </c>
      <c r="Z58" s="58">
        <v>9.49</v>
      </c>
      <c r="AA58" s="65"/>
      <c r="AB58" s="65"/>
      <c r="AC58" s="58"/>
      <c r="AD58" s="58"/>
      <c r="AE58" s="58">
        <v>0.1</v>
      </c>
      <c r="AF58" s="58">
        <v>0.1</v>
      </c>
      <c r="AG58" s="58">
        <v>81.599999999999994</v>
      </c>
      <c r="AH58" s="58">
        <v>81.5</v>
      </c>
      <c r="AI58" s="58">
        <v>128.69999999999999</v>
      </c>
      <c r="AJ58" s="58">
        <v>128.69999999999999</v>
      </c>
      <c r="AK58" s="58">
        <v>5.8</v>
      </c>
      <c r="AL58" s="58">
        <v>5.8</v>
      </c>
      <c r="AM58" s="58"/>
      <c r="AN58" s="58" t="s">
        <v>128</v>
      </c>
      <c r="AO58" s="58" t="s">
        <v>129</v>
      </c>
      <c r="AQ58" s="69">
        <v>43782</v>
      </c>
      <c r="AR58" s="71" t="s">
        <v>41</v>
      </c>
      <c r="AS58" s="71" t="s">
        <v>124</v>
      </c>
      <c r="AT58" s="72">
        <v>0.51736111111111105</v>
      </c>
      <c r="AU58" s="72">
        <v>0.52847222222222223</v>
      </c>
      <c r="AV58" s="71" t="s">
        <v>160</v>
      </c>
      <c r="AW58" s="71" t="s">
        <v>138</v>
      </c>
      <c r="AX58" s="71" t="s">
        <v>133</v>
      </c>
      <c r="AY58" s="71">
        <v>95</v>
      </c>
      <c r="AZ58" s="68"/>
      <c r="BB58" s="74">
        <v>43105</v>
      </c>
      <c r="BC58" s="75" t="s">
        <v>18</v>
      </c>
      <c r="BD58" s="75" t="s">
        <v>189</v>
      </c>
      <c r="BE58" s="76">
        <v>0.49652777777777896</v>
      </c>
      <c r="BF58" s="76">
        <v>0.52708333333333457</v>
      </c>
      <c r="BG58" s="75" t="s">
        <v>130</v>
      </c>
      <c r="BH58" s="75" t="s">
        <v>126</v>
      </c>
      <c r="BI58" s="75" t="s">
        <v>127</v>
      </c>
      <c r="BJ58" s="70">
        <v>50</v>
      </c>
      <c r="BK58" s="70">
        <v>0</v>
      </c>
      <c r="BL58" s="70">
        <v>0</v>
      </c>
      <c r="BM58" s="70">
        <v>79.2</v>
      </c>
      <c r="BN58" s="70">
        <v>77.900000000000006</v>
      </c>
      <c r="BO58" s="70">
        <v>9.26</v>
      </c>
      <c r="BP58" s="70">
        <v>9.14</v>
      </c>
      <c r="BQ58" s="70">
        <v>0</v>
      </c>
      <c r="BR58" s="70">
        <v>0</v>
      </c>
      <c r="BS58" s="70">
        <v>0</v>
      </c>
      <c r="BT58" s="70">
        <v>0</v>
      </c>
      <c r="BU58" s="70">
        <v>0</v>
      </c>
      <c r="BV58" s="70">
        <v>0</v>
      </c>
      <c r="BW58" s="70">
        <v>84.9</v>
      </c>
      <c r="BX58" s="70">
        <v>84.9</v>
      </c>
      <c r="BY58" s="70">
        <v>57.8</v>
      </c>
      <c r="BZ58" s="70">
        <v>57.8</v>
      </c>
      <c r="CA58" s="70">
        <v>8.3000000000000007</v>
      </c>
      <c r="CB58" s="70">
        <v>8.3000000000000007</v>
      </c>
    </row>
    <row r="59" spans="1:81" x14ac:dyDescent="0.25">
      <c r="A59" s="8">
        <v>44903</v>
      </c>
      <c r="B59" s="3" t="s">
        <v>41</v>
      </c>
      <c r="C59" s="3" t="s">
        <v>15</v>
      </c>
      <c r="D59" s="4">
        <v>3.7</v>
      </c>
      <c r="E59" s="4">
        <v>100.1</v>
      </c>
      <c r="F59" s="4">
        <v>13.25</v>
      </c>
      <c r="G59" s="4">
        <v>86.3</v>
      </c>
      <c r="H59" s="4">
        <v>146</v>
      </c>
      <c r="I59" s="4">
        <v>0.1</v>
      </c>
      <c r="J59" s="3">
        <v>6.6</v>
      </c>
      <c r="L59" s="61">
        <v>44166</v>
      </c>
      <c r="M59" s="60" t="s">
        <v>34</v>
      </c>
      <c r="N59" s="60" t="s">
        <v>136</v>
      </c>
      <c r="O59" s="64">
        <v>0.49444444444444446</v>
      </c>
      <c r="P59" s="64">
        <v>0.50069444444444444</v>
      </c>
      <c r="Q59" s="60" t="s">
        <v>130</v>
      </c>
      <c r="R59" s="60" t="s">
        <v>138</v>
      </c>
      <c r="S59" s="60" t="s">
        <v>133</v>
      </c>
      <c r="T59" s="60">
        <v>90</v>
      </c>
      <c r="U59" s="60"/>
      <c r="V59" s="60"/>
      <c r="W59" s="60">
        <v>91.4</v>
      </c>
      <c r="X59" s="60">
        <v>91.2</v>
      </c>
      <c r="Y59" s="60">
        <v>10.96</v>
      </c>
      <c r="Z59" s="60">
        <v>10.96</v>
      </c>
      <c r="AA59" s="66"/>
      <c r="AB59" s="66"/>
      <c r="AC59" s="60"/>
      <c r="AD59" s="60"/>
      <c r="AE59" s="60">
        <v>0</v>
      </c>
      <c r="AF59" s="60">
        <v>0</v>
      </c>
      <c r="AG59" s="60">
        <v>53.4</v>
      </c>
      <c r="AH59" s="60">
        <v>63.4</v>
      </c>
      <c r="AI59" s="60">
        <v>95.4</v>
      </c>
      <c r="AJ59" s="60">
        <v>9.5399999999999991</v>
      </c>
      <c r="AK59" s="60">
        <v>7.4</v>
      </c>
      <c r="AL59" s="60">
        <v>7.4</v>
      </c>
      <c r="AM59" s="60"/>
      <c r="AN59" s="60" t="s">
        <v>128</v>
      </c>
      <c r="AO59" s="60" t="s">
        <v>129</v>
      </c>
      <c r="AQ59" s="69">
        <v>43782</v>
      </c>
      <c r="AR59" s="71" t="s">
        <v>40</v>
      </c>
      <c r="AS59" s="71" t="s">
        <v>124</v>
      </c>
      <c r="AT59" s="72">
        <v>0.55555555555555558</v>
      </c>
      <c r="AU59" s="72">
        <v>0.57222222222222219</v>
      </c>
      <c r="AV59" s="71" t="s">
        <v>160</v>
      </c>
      <c r="AW59" s="71" t="s">
        <v>126</v>
      </c>
      <c r="AX59" s="71" t="s">
        <v>127</v>
      </c>
      <c r="AY59" s="71">
        <v>90</v>
      </c>
      <c r="AZ59" s="68"/>
      <c r="BB59" s="74">
        <v>43105</v>
      </c>
      <c r="BC59" s="75" t="s">
        <v>34</v>
      </c>
      <c r="BD59" s="75" t="s">
        <v>189</v>
      </c>
      <c r="BE59" s="76">
        <v>0.45277777777777883</v>
      </c>
      <c r="BF59" s="76">
        <v>0.4555555555555566</v>
      </c>
      <c r="BG59" s="75" t="s">
        <v>130</v>
      </c>
      <c r="BH59" s="75" t="s">
        <v>126</v>
      </c>
      <c r="BI59" s="75" t="s">
        <v>163</v>
      </c>
      <c r="BJ59" s="70">
        <v>60</v>
      </c>
      <c r="BK59" s="70">
        <v>0</v>
      </c>
      <c r="BL59" s="70">
        <v>0</v>
      </c>
      <c r="BM59" s="70">
        <v>85.4</v>
      </c>
      <c r="BN59" s="70">
        <v>85.1</v>
      </c>
      <c r="BO59" s="70">
        <v>10.1</v>
      </c>
      <c r="BP59" s="70">
        <v>10.08</v>
      </c>
      <c r="BQ59" s="70">
        <v>0</v>
      </c>
      <c r="BR59" s="70">
        <v>0</v>
      </c>
      <c r="BS59" s="70">
        <v>0</v>
      </c>
      <c r="BT59" s="70">
        <v>0</v>
      </c>
      <c r="BU59" s="70">
        <v>0</v>
      </c>
      <c r="BV59" s="70">
        <v>0</v>
      </c>
      <c r="BW59" s="70">
        <v>79.099999999999994</v>
      </c>
      <c r="BX59" s="70">
        <v>79.099999999999994</v>
      </c>
      <c r="BY59" s="70">
        <v>53.4</v>
      </c>
      <c r="BZ59" s="70">
        <v>53.4</v>
      </c>
      <c r="CA59" s="70">
        <v>8.1</v>
      </c>
      <c r="CB59" s="70">
        <v>8</v>
      </c>
    </row>
    <row r="60" spans="1:81" x14ac:dyDescent="0.25">
      <c r="A60" s="8">
        <v>44909</v>
      </c>
      <c r="B60" s="3" t="s">
        <v>41</v>
      </c>
      <c r="C60" s="3" t="s">
        <v>15</v>
      </c>
      <c r="D60" s="4">
        <v>4.7</v>
      </c>
      <c r="E60" s="4">
        <v>94.3</v>
      </c>
      <c r="F60" s="4">
        <v>12.06</v>
      </c>
      <c r="G60" s="4">
        <v>76.599999999999994</v>
      </c>
      <c r="H60" s="4">
        <v>125.4</v>
      </c>
      <c r="I60" s="4">
        <v>0.1</v>
      </c>
      <c r="J60" s="3">
        <v>3.8</v>
      </c>
      <c r="L60" s="57">
        <v>44166</v>
      </c>
      <c r="M60" s="58" t="s">
        <v>18</v>
      </c>
      <c r="N60" s="58" t="s">
        <v>136</v>
      </c>
      <c r="O60" s="63">
        <v>0.54791666666666672</v>
      </c>
      <c r="P60" s="63">
        <v>0.57916666666666672</v>
      </c>
      <c r="Q60" s="58" t="s">
        <v>149</v>
      </c>
      <c r="R60" s="58" t="s">
        <v>126</v>
      </c>
      <c r="S60" s="58" t="s">
        <v>133</v>
      </c>
      <c r="T60" s="58">
        <v>60</v>
      </c>
      <c r="U60" s="58"/>
      <c r="V60" s="58"/>
      <c r="W60" s="58">
        <v>86</v>
      </c>
      <c r="X60" s="58">
        <v>85.5</v>
      </c>
      <c r="Y60" s="58">
        <v>10.3</v>
      </c>
      <c r="Z60" s="58">
        <v>10.23</v>
      </c>
      <c r="AA60" s="65"/>
      <c r="AB60" s="65"/>
      <c r="AC60" s="58"/>
      <c r="AD60" s="58"/>
      <c r="AE60" s="58">
        <v>0</v>
      </c>
      <c r="AF60" s="58">
        <v>0</v>
      </c>
      <c r="AG60" s="58">
        <v>69</v>
      </c>
      <c r="AH60" s="58">
        <v>69</v>
      </c>
      <c r="AI60" s="58">
        <v>103.7</v>
      </c>
      <c r="AJ60" s="58">
        <v>103.7</v>
      </c>
      <c r="AK60" s="58">
        <v>7.5</v>
      </c>
      <c r="AL60" s="58">
        <v>7.5</v>
      </c>
      <c r="AM60" s="58"/>
      <c r="AN60" s="58" t="s">
        <v>128</v>
      </c>
      <c r="AO60" s="58" t="s">
        <v>129</v>
      </c>
      <c r="AQ60" s="69">
        <v>43783</v>
      </c>
      <c r="AR60" s="71" t="s">
        <v>34</v>
      </c>
      <c r="AS60" s="71" t="s">
        <v>124</v>
      </c>
      <c r="AT60" s="72">
        <v>0.50277777777777777</v>
      </c>
      <c r="AU60" s="72">
        <v>0.51180555555555551</v>
      </c>
      <c r="AV60" s="71" t="s">
        <v>160</v>
      </c>
      <c r="AW60" s="71" t="s">
        <v>138</v>
      </c>
      <c r="AX60" s="71" t="s">
        <v>133</v>
      </c>
      <c r="AY60" s="71">
        <v>100</v>
      </c>
      <c r="AZ60" s="68"/>
      <c r="BB60" s="74">
        <v>43105</v>
      </c>
      <c r="BC60" s="75" t="s">
        <v>173</v>
      </c>
      <c r="BD60" s="75" t="s">
        <v>189</v>
      </c>
      <c r="BE60" s="76">
        <v>0.4555555555555566</v>
      </c>
      <c r="BF60" s="76">
        <v>0.46597222222222329</v>
      </c>
      <c r="BG60" s="75" t="s">
        <v>130</v>
      </c>
      <c r="BH60" s="75" t="s">
        <v>126</v>
      </c>
      <c r="BI60" s="75" t="s">
        <v>127</v>
      </c>
      <c r="BJ60" s="70">
        <v>70</v>
      </c>
      <c r="BK60" s="70">
        <v>0</v>
      </c>
      <c r="BL60" s="70">
        <v>0</v>
      </c>
      <c r="BM60" s="70">
        <v>80.8</v>
      </c>
      <c r="BN60" s="70">
        <v>80.099999999999994</v>
      </c>
      <c r="BO60" s="70">
        <v>9.5299999999999994</v>
      </c>
      <c r="BP60" s="70">
        <v>9.43</v>
      </c>
      <c r="BQ60" s="70">
        <v>0</v>
      </c>
      <c r="BR60" s="70">
        <v>0</v>
      </c>
      <c r="BS60" s="70">
        <v>0</v>
      </c>
      <c r="BT60" s="70">
        <v>0</v>
      </c>
      <c r="BU60" s="70">
        <v>0</v>
      </c>
      <c r="BV60" s="70">
        <v>0</v>
      </c>
      <c r="BW60" s="70">
        <v>77.599999999999994</v>
      </c>
      <c r="BX60" s="70">
        <v>77.7</v>
      </c>
      <c r="BY60" s="70">
        <v>52.7</v>
      </c>
      <c r="BZ60" s="70">
        <v>52.7</v>
      </c>
      <c r="CA60" s="70">
        <v>8.1999999999999993</v>
      </c>
      <c r="CB60" s="70">
        <v>8.1</v>
      </c>
    </row>
    <row r="61" spans="1:81" x14ac:dyDescent="0.25">
      <c r="A61" s="8">
        <v>44909</v>
      </c>
      <c r="B61" s="3" t="s">
        <v>41</v>
      </c>
      <c r="C61" s="3" t="s">
        <v>15</v>
      </c>
      <c r="D61" s="4">
        <v>4.5999999999999996</v>
      </c>
      <c r="E61" s="4">
        <v>94</v>
      </c>
      <c r="F61" s="4">
        <v>12.09</v>
      </c>
      <c r="G61" s="4">
        <v>76.599999999999994</v>
      </c>
      <c r="H61" s="4">
        <v>125.6</v>
      </c>
      <c r="I61" s="4">
        <v>0.1</v>
      </c>
      <c r="J61" s="3">
        <v>3.8</v>
      </c>
      <c r="L61" s="61">
        <v>44167</v>
      </c>
      <c r="M61" s="60" t="s">
        <v>42</v>
      </c>
      <c r="N61" s="60" t="s">
        <v>136</v>
      </c>
      <c r="O61" s="64">
        <v>0.43402777777777773</v>
      </c>
      <c r="P61" s="64">
        <v>0.48958333333333331</v>
      </c>
      <c r="Q61" s="60" t="s">
        <v>130</v>
      </c>
      <c r="R61" s="60" t="s">
        <v>126</v>
      </c>
      <c r="S61" s="60" t="s">
        <v>127</v>
      </c>
      <c r="T61" s="60">
        <v>70</v>
      </c>
      <c r="U61" s="60"/>
      <c r="V61" s="60"/>
      <c r="W61" s="60">
        <v>79.5</v>
      </c>
      <c r="X61" s="60">
        <v>79.2</v>
      </c>
      <c r="Y61" s="60">
        <v>10.130000000000001</v>
      </c>
      <c r="Z61" s="60">
        <v>10.1</v>
      </c>
      <c r="AA61" s="66"/>
      <c r="AB61" s="66"/>
      <c r="AC61" s="60"/>
      <c r="AD61" s="60"/>
      <c r="AE61" s="60">
        <v>0</v>
      </c>
      <c r="AF61" s="60">
        <v>0</v>
      </c>
      <c r="AG61" s="60">
        <v>67.099999999999994</v>
      </c>
      <c r="AH61" s="60">
        <v>67.099999999999994</v>
      </c>
      <c r="AI61" s="60">
        <v>108.6</v>
      </c>
      <c r="AJ61" s="60">
        <v>10.6</v>
      </c>
      <c r="AK61" s="60">
        <v>5</v>
      </c>
      <c r="AL61" s="60">
        <v>5</v>
      </c>
      <c r="AM61" s="60" t="s">
        <v>152</v>
      </c>
      <c r="AN61" s="60" t="s">
        <v>128</v>
      </c>
      <c r="AO61" s="60" t="s">
        <v>129</v>
      </c>
      <c r="AQ61" s="69">
        <v>43783</v>
      </c>
      <c r="AR61" s="71" t="s">
        <v>18</v>
      </c>
      <c r="AS61" s="71" t="s">
        <v>124</v>
      </c>
      <c r="AT61" s="72">
        <v>0.55208333333333337</v>
      </c>
      <c r="AU61" s="72">
        <v>0.58888888888888891</v>
      </c>
      <c r="AV61" s="71" t="s">
        <v>160</v>
      </c>
      <c r="AW61" s="71" t="s">
        <v>138</v>
      </c>
      <c r="AX61" s="71" t="s">
        <v>127</v>
      </c>
      <c r="AY61" s="71">
        <v>95</v>
      </c>
      <c r="AZ61" s="68"/>
      <c r="BB61" s="74">
        <v>43111</v>
      </c>
      <c r="BC61" s="75" t="s">
        <v>42</v>
      </c>
      <c r="BD61" s="75" t="s">
        <v>186</v>
      </c>
      <c r="BE61" s="76">
        <v>0.44444444444444547</v>
      </c>
      <c r="BF61" s="76">
        <v>0.48750000000000115</v>
      </c>
      <c r="BG61" s="75" t="s">
        <v>149</v>
      </c>
      <c r="BH61" s="75" t="s">
        <v>138</v>
      </c>
      <c r="BI61" s="75" t="s">
        <v>132</v>
      </c>
      <c r="BJ61" s="70">
        <v>60</v>
      </c>
      <c r="BK61" s="70">
        <v>0</v>
      </c>
      <c r="BL61" s="70">
        <v>0</v>
      </c>
      <c r="BM61" s="70">
        <v>66</v>
      </c>
      <c r="BN61" s="70">
        <v>65.5</v>
      </c>
      <c r="BO61" s="70">
        <v>8.14</v>
      </c>
      <c r="BP61" s="70">
        <v>80.8</v>
      </c>
      <c r="BQ61" s="70">
        <v>0</v>
      </c>
      <c r="BR61" s="70">
        <v>0</v>
      </c>
      <c r="BS61" s="70">
        <v>0</v>
      </c>
      <c r="BT61" s="70">
        <v>0</v>
      </c>
      <c r="BU61" s="70">
        <v>0</v>
      </c>
      <c r="BV61" s="70">
        <v>0</v>
      </c>
      <c r="BW61" s="70">
        <v>76.5</v>
      </c>
      <c r="BX61" s="70">
        <v>76.5</v>
      </c>
      <c r="BY61" s="70">
        <v>49.3</v>
      </c>
      <c r="BZ61" s="70">
        <v>49.1</v>
      </c>
      <c r="CA61" s="70">
        <v>6.4</v>
      </c>
      <c r="CB61" s="70">
        <v>6.3</v>
      </c>
    </row>
    <row r="62" spans="1:81" x14ac:dyDescent="0.25">
      <c r="A62" s="8">
        <v>44931</v>
      </c>
      <c r="B62" s="3" t="s">
        <v>41</v>
      </c>
      <c r="C62" s="3" t="s">
        <v>24</v>
      </c>
      <c r="D62" s="4">
        <v>5</v>
      </c>
      <c r="E62" s="4">
        <v>108.7</v>
      </c>
      <c r="F62" s="4">
        <v>13.87</v>
      </c>
      <c r="G62" s="4">
        <v>72.7</v>
      </c>
      <c r="H62" s="4">
        <v>117.8</v>
      </c>
      <c r="I62" s="4">
        <v>0.1</v>
      </c>
      <c r="J62" s="3">
        <v>8.3000000000000007</v>
      </c>
      <c r="L62" s="57">
        <v>44167</v>
      </c>
      <c r="M62" s="58" t="s">
        <v>44</v>
      </c>
      <c r="N62" s="58" t="s">
        <v>136</v>
      </c>
      <c r="O62" s="63">
        <v>0.54027777777777775</v>
      </c>
      <c r="P62" s="63">
        <v>0.54999999999999993</v>
      </c>
      <c r="Q62" s="58" t="s">
        <v>130</v>
      </c>
      <c r="R62" s="58" t="s">
        <v>126</v>
      </c>
      <c r="S62" s="58" t="s">
        <v>133</v>
      </c>
      <c r="T62" s="58">
        <v>80</v>
      </c>
      <c r="U62" s="58"/>
      <c r="V62" s="58"/>
      <c r="W62" s="58">
        <v>79.099999999999994</v>
      </c>
      <c r="X62" s="58">
        <v>78.5</v>
      </c>
      <c r="Y62" s="58">
        <v>10.19</v>
      </c>
      <c r="Z62" s="58">
        <v>10.06</v>
      </c>
      <c r="AA62" s="65"/>
      <c r="AB62" s="65"/>
      <c r="AC62" s="58"/>
      <c r="AD62" s="58"/>
      <c r="AE62" s="58">
        <v>0.1</v>
      </c>
      <c r="AF62" s="58">
        <v>0.1</v>
      </c>
      <c r="AG62" s="58">
        <v>87.8</v>
      </c>
      <c r="AH62" s="58">
        <v>87.8</v>
      </c>
      <c r="AI62" s="58">
        <v>143.69999999999999</v>
      </c>
      <c r="AJ62" s="58">
        <v>143.80000000000001</v>
      </c>
      <c r="AK62" s="58">
        <v>4.5999999999999996</v>
      </c>
      <c r="AL62" s="58">
        <v>4.5999999999999996</v>
      </c>
      <c r="AM62" s="58"/>
      <c r="AN62" s="58" t="s">
        <v>128</v>
      </c>
      <c r="AO62" s="58" t="s">
        <v>129</v>
      </c>
      <c r="AQ62" s="69">
        <v>43783</v>
      </c>
      <c r="AR62" s="71" t="s">
        <v>83</v>
      </c>
      <c r="AS62" s="71" t="s">
        <v>124</v>
      </c>
      <c r="AT62" s="72">
        <v>0.65625</v>
      </c>
      <c r="AU62" s="72">
        <v>0.65972222222222221</v>
      </c>
      <c r="AV62" s="71" t="s">
        <v>160</v>
      </c>
      <c r="AW62" s="71" t="s">
        <v>126</v>
      </c>
      <c r="AX62" s="71" t="s">
        <v>133</v>
      </c>
      <c r="AY62" s="71">
        <v>100</v>
      </c>
      <c r="AZ62" s="68"/>
      <c r="BB62" s="74">
        <v>43111</v>
      </c>
      <c r="BC62" s="75" t="s">
        <v>83</v>
      </c>
      <c r="BD62" s="75" t="s">
        <v>186</v>
      </c>
      <c r="BE62" s="76">
        <v>0.4972222222222234</v>
      </c>
      <c r="BF62" s="76">
        <v>0.49930555555555672</v>
      </c>
      <c r="BG62" s="75" t="s">
        <v>149</v>
      </c>
      <c r="BH62" s="75" t="s">
        <v>126</v>
      </c>
      <c r="BI62" s="75" t="s">
        <v>178</v>
      </c>
      <c r="BJ62" s="70">
        <v>60</v>
      </c>
      <c r="BK62" s="70">
        <v>0</v>
      </c>
      <c r="BL62" s="70">
        <v>0</v>
      </c>
      <c r="BM62" s="70">
        <v>79.900000000000006</v>
      </c>
      <c r="BN62" s="70">
        <v>79.2</v>
      </c>
      <c r="BO62" s="70">
        <v>9.5500000000000007</v>
      </c>
      <c r="BP62" s="70">
        <v>9.48</v>
      </c>
      <c r="BQ62" s="70">
        <v>0</v>
      </c>
      <c r="BR62" s="70">
        <v>0</v>
      </c>
      <c r="BS62" s="70">
        <v>0</v>
      </c>
      <c r="BT62" s="70">
        <v>0</v>
      </c>
      <c r="BU62" s="70">
        <v>0.1</v>
      </c>
      <c r="BV62" s="70">
        <v>0.1</v>
      </c>
      <c r="BW62" s="70">
        <v>135.80000000000001</v>
      </c>
      <c r="BX62" s="70">
        <v>135.5</v>
      </c>
      <c r="BY62" s="70">
        <v>9.0399999999999991</v>
      </c>
      <c r="BZ62" s="70">
        <v>90.2</v>
      </c>
      <c r="CA62" s="70">
        <v>7.5</v>
      </c>
      <c r="CB62" s="70">
        <v>7.5</v>
      </c>
    </row>
    <row r="63" spans="1:81" x14ac:dyDescent="0.25">
      <c r="A63" s="8">
        <v>44931</v>
      </c>
      <c r="B63" s="3" t="s">
        <v>41</v>
      </c>
      <c r="C63" s="3" t="s">
        <v>24</v>
      </c>
      <c r="D63" s="4">
        <v>5</v>
      </c>
      <c r="E63" s="4">
        <v>107.8</v>
      </c>
      <c r="F63" s="4">
        <v>13.71</v>
      </c>
      <c r="G63" s="4">
        <v>72.7</v>
      </c>
      <c r="H63" s="4">
        <v>117.8</v>
      </c>
      <c r="I63" s="4">
        <v>0.1</v>
      </c>
      <c r="J63" s="3">
        <v>8.3000000000000007</v>
      </c>
      <c r="L63" s="61">
        <v>44167</v>
      </c>
      <c r="M63" s="60" t="s">
        <v>83</v>
      </c>
      <c r="N63" s="60" t="s">
        <v>136</v>
      </c>
      <c r="O63" s="64">
        <v>0.56874999999999998</v>
      </c>
      <c r="P63" s="64">
        <v>0.5708333333333333</v>
      </c>
      <c r="Q63" s="60" t="s">
        <v>130</v>
      </c>
      <c r="R63" s="60" t="s">
        <v>126</v>
      </c>
      <c r="S63" s="60" t="s">
        <v>133</v>
      </c>
      <c r="T63" s="60">
        <v>95</v>
      </c>
      <c r="U63" s="60"/>
      <c r="V63" s="60"/>
      <c r="W63" s="60">
        <v>78.3</v>
      </c>
      <c r="X63" s="60">
        <v>77.400000000000006</v>
      </c>
      <c r="Y63" s="60">
        <v>9.4499999999999993</v>
      </c>
      <c r="Z63" s="60">
        <v>9.39</v>
      </c>
      <c r="AA63" s="66"/>
      <c r="AB63" s="66"/>
      <c r="AC63" s="60"/>
      <c r="AD63" s="60"/>
      <c r="AE63" s="60">
        <v>0.1</v>
      </c>
      <c r="AF63" s="60">
        <v>0.1</v>
      </c>
      <c r="AG63" s="60">
        <v>155.5</v>
      </c>
      <c r="AH63" s="60">
        <v>155.5</v>
      </c>
      <c r="AI63" s="60">
        <v>237.2</v>
      </c>
      <c r="AJ63" s="60">
        <v>237.1</v>
      </c>
      <c r="AK63" s="60">
        <v>7</v>
      </c>
      <c r="AL63" s="60">
        <v>7</v>
      </c>
      <c r="AM63" s="60"/>
      <c r="AN63" s="60" t="s">
        <v>128</v>
      </c>
      <c r="AO63" s="60" t="s">
        <v>129</v>
      </c>
      <c r="AQ63" s="69">
        <v>43784</v>
      </c>
      <c r="AR63" s="71" t="s">
        <v>42</v>
      </c>
      <c r="AS63" s="71" t="s">
        <v>124</v>
      </c>
      <c r="AT63" s="72">
        <v>0.60763888888888895</v>
      </c>
      <c r="AU63" s="72">
        <v>0.62569444444444444</v>
      </c>
      <c r="AV63" s="71" t="s">
        <v>160</v>
      </c>
      <c r="AW63" s="71" t="s">
        <v>126</v>
      </c>
      <c r="AX63" s="71" t="s">
        <v>163</v>
      </c>
      <c r="AY63" s="71">
        <v>90</v>
      </c>
      <c r="AZ63" s="68"/>
    </row>
    <row r="64" spans="1:81" x14ac:dyDescent="0.25">
      <c r="A64" s="8">
        <v>44110</v>
      </c>
      <c r="B64" s="3" t="s">
        <v>42</v>
      </c>
      <c r="C64" s="3" t="s">
        <v>10</v>
      </c>
      <c r="D64" s="4">
        <v>12.4</v>
      </c>
      <c r="E64" s="4">
        <v>88.3</v>
      </c>
      <c r="F64" s="4">
        <v>9.4</v>
      </c>
      <c r="G64" s="4">
        <v>121</v>
      </c>
      <c r="H64" s="4">
        <v>159.5</v>
      </c>
      <c r="I64" s="4">
        <v>0.1</v>
      </c>
      <c r="J64" s="3">
        <v>16.100000000000001</v>
      </c>
      <c r="L64" s="57">
        <v>44169</v>
      </c>
      <c r="M64" s="58" t="s">
        <v>49</v>
      </c>
      <c r="N64" s="58" t="s">
        <v>136</v>
      </c>
      <c r="O64" s="63">
        <v>0.43263888888888885</v>
      </c>
      <c r="P64" s="63">
        <v>0.44930555555555557</v>
      </c>
      <c r="Q64" s="58" t="s">
        <v>130</v>
      </c>
      <c r="R64" s="58" t="s">
        <v>126</v>
      </c>
      <c r="S64" s="58" t="s">
        <v>133</v>
      </c>
      <c r="T64" s="58">
        <v>80</v>
      </c>
      <c r="U64" s="58"/>
      <c r="V64" s="58"/>
      <c r="W64" s="58">
        <v>87.8</v>
      </c>
      <c r="X64" s="58">
        <v>85.4</v>
      </c>
      <c r="Y64" s="58">
        <v>10.9</v>
      </c>
      <c r="Z64" s="58">
        <v>10.81</v>
      </c>
      <c r="AA64" s="65"/>
      <c r="AB64" s="65"/>
      <c r="AC64" s="58"/>
      <c r="AD64" s="58"/>
      <c r="AE64" s="58">
        <v>0</v>
      </c>
      <c r="AF64" s="58">
        <v>0</v>
      </c>
      <c r="AG64" s="58">
        <v>61.4</v>
      </c>
      <c r="AH64" s="58">
        <v>62.5</v>
      </c>
      <c r="AI64" s="58">
        <v>97.9</v>
      </c>
      <c r="AJ64" s="58">
        <v>99.5</v>
      </c>
      <c r="AK64" s="58">
        <v>5.5</v>
      </c>
      <c r="AL64" s="58">
        <v>5.5</v>
      </c>
      <c r="AM64" s="58" t="s">
        <v>153</v>
      </c>
      <c r="AN64" s="58" t="s">
        <v>128</v>
      </c>
      <c r="AO64" s="58" t="s">
        <v>129</v>
      </c>
      <c r="AQ64" s="69">
        <v>43787</v>
      </c>
      <c r="AR64" s="71" t="s">
        <v>49</v>
      </c>
      <c r="AS64" s="71" t="s">
        <v>124</v>
      </c>
      <c r="AT64" s="72">
        <v>0.4861111111111111</v>
      </c>
      <c r="AU64" s="72">
        <v>0.51458333333333328</v>
      </c>
      <c r="AV64" s="71" t="s">
        <v>130</v>
      </c>
      <c r="AW64" s="71" t="s">
        <v>138</v>
      </c>
      <c r="AX64" s="71" t="s">
        <v>127</v>
      </c>
      <c r="AY64" s="71">
        <v>85</v>
      </c>
      <c r="AZ64" s="68"/>
    </row>
    <row r="65" spans="1:52" x14ac:dyDescent="0.25">
      <c r="A65" s="8">
        <v>44110</v>
      </c>
      <c r="B65" s="3" t="s">
        <v>42</v>
      </c>
      <c r="C65" s="3" t="s">
        <v>10</v>
      </c>
      <c r="D65" s="4">
        <v>12.3</v>
      </c>
      <c r="E65" s="4">
        <v>87.1</v>
      </c>
      <c r="F65" s="4">
        <v>9.2899999999999991</v>
      </c>
      <c r="G65" s="4">
        <v>120.9</v>
      </c>
      <c r="H65" s="4">
        <v>159.5</v>
      </c>
      <c r="I65" s="4">
        <v>0.1</v>
      </c>
      <c r="J65" s="3">
        <v>16.100000000000001</v>
      </c>
      <c r="L65" s="61">
        <v>44169</v>
      </c>
      <c r="M65" s="60" t="s">
        <v>63</v>
      </c>
      <c r="N65" s="60" t="s">
        <v>136</v>
      </c>
      <c r="O65" s="64">
        <v>0.45833333333333331</v>
      </c>
      <c r="P65" s="64">
        <v>0.48749999999999999</v>
      </c>
      <c r="Q65" s="60" t="s">
        <v>130</v>
      </c>
      <c r="R65" s="60" t="s">
        <v>126</v>
      </c>
      <c r="S65" s="60" t="s">
        <v>127</v>
      </c>
      <c r="T65" s="60">
        <v>11.79</v>
      </c>
      <c r="U65" s="60"/>
      <c r="V65" s="60"/>
      <c r="W65" s="60">
        <v>95.1</v>
      </c>
      <c r="X65" s="60">
        <v>95.3</v>
      </c>
      <c r="Y65" s="60">
        <v>11.79</v>
      </c>
      <c r="Z65" s="60">
        <v>11.8</v>
      </c>
      <c r="AA65" s="66"/>
      <c r="AB65" s="66"/>
      <c r="AC65" s="60"/>
      <c r="AD65" s="60"/>
      <c r="AE65" s="60">
        <v>0.1</v>
      </c>
      <c r="AF65" s="60">
        <v>0.1</v>
      </c>
      <c r="AG65" s="60">
        <v>75.5</v>
      </c>
      <c r="AH65" s="60">
        <v>79.3</v>
      </c>
      <c r="AI65" s="60">
        <v>118.1</v>
      </c>
      <c r="AJ65" s="60">
        <v>123.8</v>
      </c>
      <c r="AK65" s="60">
        <v>6.2</v>
      </c>
      <c r="AL65" s="60">
        <v>6.2</v>
      </c>
      <c r="AM65" s="60"/>
      <c r="AN65" s="60" t="s">
        <v>128</v>
      </c>
      <c r="AO65" s="60" t="s">
        <v>129</v>
      </c>
      <c r="AQ65" s="69">
        <v>43787</v>
      </c>
      <c r="AR65" s="71" t="s">
        <v>162</v>
      </c>
      <c r="AS65" s="71" t="s">
        <v>124</v>
      </c>
      <c r="AT65" s="72">
        <v>0.4909722222222222</v>
      </c>
      <c r="AU65" s="72">
        <v>0.55555555555555558</v>
      </c>
      <c r="AV65" s="71" t="s">
        <v>130</v>
      </c>
      <c r="AW65" s="71" t="s">
        <v>138</v>
      </c>
      <c r="AX65" s="71" t="s">
        <v>127</v>
      </c>
      <c r="AY65" s="71">
        <v>85</v>
      </c>
      <c r="AZ65" s="68"/>
    </row>
    <row r="66" spans="1:52" x14ac:dyDescent="0.25">
      <c r="A66" s="8">
        <v>44818</v>
      </c>
      <c r="B66" s="3" t="s">
        <v>42</v>
      </c>
      <c r="C66" s="3" t="s">
        <v>26</v>
      </c>
      <c r="D66" s="4">
        <v>13.3</v>
      </c>
      <c r="E66" s="4">
        <v>91.8</v>
      </c>
      <c r="F66" s="4">
        <v>9.6199999999999992</v>
      </c>
      <c r="G66" s="4">
        <v>124.5</v>
      </c>
      <c r="H66" s="4">
        <v>160.5</v>
      </c>
      <c r="I66" s="4">
        <v>0.1</v>
      </c>
      <c r="J66" s="3">
        <v>15</v>
      </c>
      <c r="L66" s="57">
        <v>44169</v>
      </c>
      <c r="M66" s="58" t="s">
        <v>30</v>
      </c>
      <c r="N66" s="58" t="s">
        <v>136</v>
      </c>
      <c r="O66" s="63">
        <v>0.54652777777777783</v>
      </c>
      <c r="P66" s="63">
        <v>0.56597222222222221</v>
      </c>
      <c r="Q66" s="58" t="s">
        <v>130</v>
      </c>
      <c r="R66" s="58" t="s">
        <v>126</v>
      </c>
      <c r="S66" s="58" t="s">
        <v>127</v>
      </c>
      <c r="T66" s="58">
        <v>75</v>
      </c>
      <c r="U66" s="58"/>
      <c r="V66" s="58"/>
      <c r="W66" s="58">
        <v>84</v>
      </c>
      <c r="X66" s="58">
        <v>84</v>
      </c>
      <c r="Y66" s="58">
        <v>10.96</v>
      </c>
      <c r="Z66" s="58">
        <v>10.99</v>
      </c>
      <c r="AA66" s="65"/>
      <c r="AB66" s="65"/>
      <c r="AC66" s="58"/>
      <c r="AD66" s="58"/>
      <c r="AE66" s="58">
        <v>0.1</v>
      </c>
      <c r="AF66" s="58">
        <v>0.1</v>
      </c>
      <c r="AG66" s="58">
        <v>118.7</v>
      </c>
      <c r="AH66" s="58">
        <v>118.7</v>
      </c>
      <c r="AI66" s="58">
        <v>197.1</v>
      </c>
      <c r="AJ66" s="58">
        <v>197.1</v>
      </c>
      <c r="AK66" s="58">
        <v>4.2</v>
      </c>
      <c r="AL66" s="58">
        <v>4.2</v>
      </c>
      <c r="AM66" s="58"/>
      <c r="AN66" s="58" t="s">
        <v>128</v>
      </c>
      <c r="AO66" s="58" t="s">
        <v>129</v>
      </c>
      <c r="AQ66" s="69">
        <v>43787</v>
      </c>
      <c r="AR66" s="71" t="s">
        <v>30</v>
      </c>
      <c r="AS66" s="71" t="s">
        <v>124</v>
      </c>
      <c r="AT66" s="72">
        <v>0.61458333333333337</v>
      </c>
      <c r="AU66" s="72">
        <v>0.62222222222222223</v>
      </c>
      <c r="AV66" s="71" t="s">
        <v>130</v>
      </c>
      <c r="AW66" s="71" t="s">
        <v>126</v>
      </c>
      <c r="AX66" s="71" t="s">
        <v>132</v>
      </c>
      <c r="AY66" s="71">
        <v>75</v>
      </c>
      <c r="AZ66" s="68"/>
    </row>
    <row r="67" spans="1:52" x14ac:dyDescent="0.25">
      <c r="A67" s="8">
        <v>44818</v>
      </c>
      <c r="B67" s="3" t="s">
        <v>42</v>
      </c>
      <c r="C67" s="3" t="s">
        <v>26</v>
      </c>
      <c r="D67" s="4">
        <v>13.3</v>
      </c>
      <c r="E67" s="4">
        <v>91.2</v>
      </c>
      <c r="F67" s="4">
        <v>9.5299999999999994</v>
      </c>
      <c r="G67" s="4">
        <v>124.4</v>
      </c>
      <c r="H67" s="4">
        <v>160.4</v>
      </c>
      <c r="I67" s="4">
        <v>0.1</v>
      </c>
      <c r="J67" s="3">
        <v>15</v>
      </c>
      <c r="L67" s="61">
        <v>44169</v>
      </c>
      <c r="M67" s="60" t="s">
        <v>41</v>
      </c>
      <c r="N67" s="60" t="s">
        <v>136</v>
      </c>
      <c r="O67" s="64">
        <v>0.6020833333333333</v>
      </c>
      <c r="P67" s="64">
        <v>0.61111111111111105</v>
      </c>
      <c r="Q67" s="60" t="s">
        <v>125</v>
      </c>
      <c r="R67" s="60" t="s">
        <v>126</v>
      </c>
      <c r="S67" s="60" t="s">
        <v>127</v>
      </c>
      <c r="T67" s="60">
        <v>80</v>
      </c>
      <c r="U67" s="60"/>
      <c r="V67" s="60"/>
      <c r="W67" s="60">
        <v>102.5</v>
      </c>
      <c r="X67" s="60">
        <v>103.3</v>
      </c>
      <c r="Y67" s="60">
        <v>13.75</v>
      </c>
      <c r="Z67" s="60">
        <v>13.86</v>
      </c>
      <c r="AA67" s="66"/>
      <c r="AB67" s="66"/>
      <c r="AC67" s="60"/>
      <c r="AD67" s="60"/>
      <c r="AE67" s="60">
        <v>0.1</v>
      </c>
      <c r="AF67" s="60">
        <v>0.1</v>
      </c>
      <c r="AG67" s="60">
        <v>85.8</v>
      </c>
      <c r="AH67" s="60">
        <v>85.8</v>
      </c>
      <c r="AI67" s="60">
        <v>146.80000000000001</v>
      </c>
      <c r="AJ67" s="60">
        <v>146.9</v>
      </c>
      <c r="AK67" s="60">
        <v>3.2</v>
      </c>
      <c r="AL67" s="60">
        <v>3.2</v>
      </c>
      <c r="AM67" s="60"/>
      <c r="AN67" s="60" t="s">
        <v>128</v>
      </c>
      <c r="AO67" s="60" t="s">
        <v>129</v>
      </c>
      <c r="AQ67" s="69">
        <v>43788</v>
      </c>
      <c r="AR67" s="71" t="s">
        <v>41</v>
      </c>
      <c r="AS67" s="71" t="s">
        <v>124</v>
      </c>
      <c r="AT67" s="72">
        <v>0.61805555555555558</v>
      </c>
      <c r="AU67" s="72">
        <v>0.63055555555555554</v>
      </c>
      <c r="AV67" s="71" t="s">
        <v>130</v>
      </c>
      <c r="AW67" s="71" t="s">
        <v>138</v>
      </c>
      <c r="AX67" s="71" t="s">
        <v>132</v>
      </c>
      <c r="AY67" s="71">
        <v>75</v>
      </c>
      <c r="AZ67" s="68"/>
    </row>
    <row r="68" spans="1:52" x14ac:dyDescent="0.25">
      <c r="A68" s="8">
        <v>44826</v>
      </c>
      <c r="B68" s="3" t="s">
        <v>42</v>
      </c>
      <c r="C68" s="3" t="s">
        <v>12</v>
      </c>
      <c r="D68" s="4">
        <v>11.9</v>
      </c>
      <c r="E68" s="4">
        <v>91.9</v>
      </c>
      <c r="F68" s="4">
        <v>9.9499999999999993</v>
      </c>
      <c r="G68" s="4">
        <v>121.2</v>
      </c>
      <c r="H68" s="4">
        <v>161.69999999999999</v>
      </c>
      <c r="I68" s="4">
        <v>0.1</v>
      </c>
      <c r="J68" s="3">
        <v>19</v>
      </c>
      <c r="L68" s="57">
        <v>44175</v>
      </c>
      <c r="M68" s="58" t="s">
        <v>42</v>
      </c>
      <c r="N68" s="58" t="s">
        <v>136</v>
      </c>
      <c r="O68" s="63">
        <v>0.4152777777777778</v>
      </c>
      <c r="P68" s="63">
        <v>0.44791666666666669</v>
      </c>
      <c r="Q68" s="58" t="s">
        <v>130</v>
      </c>
      <c r="R68" s="58" t="s">
        <v>126</v>
      </c>
      <c r="S68" s="58" t="s">
        <v>131</v>
      </c>
      <c r="T68" s="58">
        <v>75</v>
      </c>
      <c r="U68" s="58"/>
      <c r="V68" s="58"/>
      <c r="W68" s="58">
        <v>78.7</v>
      </c>
      <c r="X68" s="58">
        <v>78</v>
      </c>
      <c r="Y68" s="58">
        <v>9.5500000000000007</v>
      </c>
      <c r="Z68" s="58">
        <v>9.51</v>
      </c>
      <c r="AA68" s="65"/>
      <c r="AB68" s="65"/>
      <c r="AC68" s="58"/>
      <c r="AD68" s="58"/>
      <c r="AE68" s="58">
        <v>0.1</v>
      </c>
      <c r="AF68" s="58">
        <v>0.1</v>
      </c>
      <c r="AG68" s="58">
        <v>70.5</v>
      </c>
      <c r="AH68" s="58">
        <v>70.3</v>
      </c>
      <c r="AI68" s="58">
        <v>107.6</v>
      </c>
      <c r="AJ68" s="58">
        <v>107.7</v>
      </c>
      <c r="AK68" s="58">
        <v>6.9</v>
      </c>
      <c r="AL68" s="58">
        <v>6.9</v>
      </c>
      <c r="AM68" s="58"/>
      <c r="AN68" s="58" t="s">
        <v>128</v>
      </c>
      <c r="AO68" s="58" t="s">
        <v>129</v>
      </c>
      <c r="AQ68" s="69">
        <v>43788</v>
      </c>
      <c r="AR68" s="71" t="s">
        <v>40</v>
      </c>
      <c r="AS68" s="71" t="s">
        <v>124</v>
      </c>
      <c r="AT68" s="72">
        <v>0.65347222222222223</v>
      </c>
      <c r="AU68" s="72">
        <v>0.66875000000000007</v>
      </c>
      <c r="AV68" s="71" t="s">
        <v>160</v>
      </c>
      <c r="AW68" s="71" t="s">
        <v>126</v>
      </c>
      <c r="AX68" s="71" t="s">
        <v>132</v>
      </c>
      <c r="AY68" s="71">
        <v>75</v>
      </c>
      <c r="AZ68" s="68"/>
    </row>
    <row r="69" spans="1:52" x14ac:dyDescent="0.25">
      <c r="A69" s="8">
        <v>44826</v>
      </c>
      <c r="B69" s="3" t="s">
        <v>42</v>
      </c>
      <c r="C69" s="3" t="s">
        <v>12</v>
      </c>
      <c r="D69" s="4">
        <v>11.9</v>
      </c>
      <c r="E69" s="4">
        <v>91.6</v>
      </c>
      <c r="F69" s="4">
        <v>9.91</v>
      </c>
      <c r="G69" s="4">
        <v>121.2</v>
      </c>
      <c r="H69" s="4">
        <v>161.80000000000001</v>
      </c>
      <c r="I69" s="4">
        <v>0.1</v>
      </c>
      <c r="J69" s="3">
        <v>19</v>
      </c>
      <c r="L69" s="61">
        <v>44175</v>
      </c>
      <c r="M69" s="60" t="s">
        <v>83</v>
      </c>
      <c r="N69" s="60" t="s">
        <v>136</v>
      </c>
      <c r="O69" s="64">
        <v>0.46180555555555558</v>
      </c>
      <c r="P69" s="64">
        <v>0.46458333333333335</v>
      </c>
      <c r="Q69" s="60" t="s">
        <v>130</v>
      </c>
      <c r="R69" s="60" t="s">
        <v>126</v>
      </c>
      <c r="S69" s="60" t="s">
        <v>127</v>
      </c>
      <c r="T69" s="60">
        <v>95</v>
      </c>
      <c r="U69" s="60"/>
      <c r="V69" s="60"/>
      <c r="W69" s="60">
        <v>93.2</v>
      </c>
      <c r="X69" s="60">
        <v>92.8</v>
      </c>
      <c r="Y69" s="60">
        <v>11</v>
      </c>
      <c r="Z69" s="60">
        <v>10.98</v>
      </c>
      <c r="AA69" s="66"/>
      <c r="AB69" s="66"/>
      <c r="AC69" s="60"/>
      <c r="AD69" s="60"/>
      <c r="AE69" s="60">
        <v>0.1</v>
      </c>
      <c r="AF69" s="60">
        <v>0.1</v>
      </c>
      <c r="AG69" s="60">
        <v>160.1</v>
      </c>
      <c r="AH69" s="60">
        <v>160.1</v>
      </c>
      <c r="AI69" s="60">
        <v>237</v>
      </c>
      <c r="AJ69" s="60">
        <v>237.2</v>
      </c>
      <c r="AK69" s="60">
        <v>8</v>
      </c>
      <c r="AL69" s="60">
        <v>8</v>
      </c>
      <c r="AM69" s="60"/>
      <c r="AN69" s="60" t="s">
        <v>128</v>
      </c>
      <c r="AO69" s="60" t="s">
        <v>129</v>
      </c>
      <c r="AQ69" s="69">
        <v>43790</v>
      </c>
      <c r="AR69" s="71" t="s">
        <v>34</v>
      </c>
      <c r="AS69" s="71" t="s">
        <v>124</v>
      </c>
      <c r="AT69" s="72">
        <v>0.52083333333333337</v>
      </c>
      <c r="AU69" s="72">
        <v>0.53472222222222221</v>
      </c>
      <c r="AV69" s="71" t="s">
        <v>130</v>
      </c>
      <c r="AW69" s="71" t="s">
        <v>126</v>
      </c>
      <c r="AX69" s="71" t="s">
        <v>133</v>
      </c>
      <c r="AY69" s="71">
        <v>100</v>
      </c>
      <c r="AZ69" s="68"/>
    </row>
    <row r="70" spans="1:52" x14ac:dyDescent="0.25">
      <c r="A70" s="8">
        <v>44833</v>
      </c>
      <c r="B70" s="3" t="s">
        <v>42</v>
      </c>
      <c r="C70" s="3" t="s">
        <v>10</v>
      </c>
      <c r="D70" s="4">
        <v>13.2</v>
      </c>
      <c r="E70" s="4">
        <v>92.1</v>
      </c>
      <c r="F70" s="4">
        <v>9.16</v>
      </c>
      <c r="G70" s="4">
        <v>124.8</v>
      </c>
      <c r="H70" s="4">
        <v>161.30000000000001</v>
      </c>
      <c r="I70" s="4">
        <v>0.1</v>
      </c>
      <c r="J70" s="3">
        <v>18.8</v>
      </c>
      <c r="L70" s="57">
        <v>44175</v>
      </c>
      <c r="M70" s="58" t="s">
        <v>44</v>
      </c>
      <c r="N70" s="58" t="s">
        <v>136</v>
      </c>
      <c r="O70" s="63">
        <v>0.47916666666666669</v>
      </c>
      <c r="P70" s="63">
        <v>0.48749999999999999</v>
      </c>
      <c r="Q70" s="58" t="s">
        <v>130</v>
      </c>
      <c r="R70" s="58" t="s">
        <v>126</v>
      </c>
      <c r="S70" s="58" t="s">
        <v>127</v>
      </c>
      <c r="T70" s="58">
        <v>80</v>
      </c>
      <c r="U70" s="58"/>
      <c r="V70" s="58"/>
      <c r="W70" s="58">
        <v>65.3</v>
      </c>
      <c r="X70" s="58">
        <v>66.900000000000006</v>
      </c>
      <c r="Y70" s="58">
        <v>7.94</v>
      </c>
      <c r="Z70" s="58">
        <v>8.1300000000000008</v>
      </c>
      <c r="AA70" s="65"/>
      <c r="AB70" s="65"/>
      <c r="AC70" s="58"/>
      <c r="AD70" s="58"/>
      <c r="AE70" s="58">
        <v>0.1</v>
      </c>
      <c r="AF70" s="58">
        <v>0.1</v>
      </c>
      <c r="AG70" s="58">
        <v>95.9</v>
      </c>
      <c r="AH70" s="58">
        <v>94.6</v>
      </c>
      <c r="AI70" s="58">
        <v>145.5</v>
      </c>
      <c r="AJ70" s="58">
        <v>144.30000000000001</v>
      </c>
      <c r="AK70" s="58">
        <v>7</v>
      </c>
      <c r="AL70" s="58">
        <v>7</v>
      </c>
      <c r="AM70" s="58"/>
      <c r="AN70" s="58" t="s">
        <v>128</v>
      </c>
      <c r="AO70" s="58" t="s">
        <v>129</v>
      </c>
      <c r="AQ70" s="69">
        <v>43790</v>
      </c>
      <c r="AR70" s="71" t="s">
        <v>18</v>
      </c>
      <c r="AS70" s="71" t="s">
        <v>124</v>
      </c>
      <c r="AT70" s="72">
        <v>0.56597222222222221</v>
      </c>
      <c r="AU70" s="72">
        <v>0.59722222222222221</v>
      </c>
      <c r="AV70" s="71" t="s">
        <v>130</v>
      </c>
      <c r="AW70" s="71" t="s">
        <v>126</v>
      </c>
      <c r="AX70" s="71" t="s">
        <v>127</v>
      </c>
      <c r="AY70" s="71">
        <v>90</v>
      </c>
      <c r="AZ70" s="68"/>
    </row>
    <row r="71" spans="1:52" x14ac:dyDescent="0.25">
      <c r="A71" s="8">
        <v>44833</v>
      </c>
      <c r="B71" s="3" t="s">
        <v>42</v>
      </c>
      <c r="C71" s="3" t="s">
        <v>10</v>
      </c>
      <c r="D71" s="4">
        <v>13.2</v>
      </c>
      <c r="E71" s="4">
        <v>91.6</v>
      </c>
      <c r="F71" s="4">
        <v>9.66</v>
      </c>
      <c r="G71" s="4">
        <v>124.8</v>
      </c>
      <c r="H71" s="4">
        <v>161.4</v>
      </c>
      <c r="I71" s="4">
        <v>0.1</v>
      </c>
      <c r="J71" s="3">
        <v>18.8</v>
      </c>
      <c r="L71" s="61">
        <v>44176</v>
      </c>
      <c r="M71" s="60" t="s">
        <v>34</v>
      </c>
      <c r="N71" s="60" t="s">
        <v>136</v>
      </c>
      <c r="O71" s="64">
        <v>0.45833333333333331</v>
      </c>
      <c r="P71" s="64">
        <v>0.46180555555555558</v>
      </c>
      <c r="Q71" s="60" t="s">
        <v>130</v>
      </c>
      <c r="R71" s="60" t="s">
        <v>138</v>
      </c>
      <c r="S71" s="60" t="s">
        <v>133</v>
      </c>
      <c r="T71" s="60">
        <v>95</v>
      </c>
      <c r="U71" s="60"/>
      <c r="V71" s="60"/>
      <c r="W71" s="60">
        <v>92.8</v>
      </c>
      <c r="X71" s="60">
        <v>92.2</v>
      </c>
      <c r="Y71" s="60">
        <v>11.04</v>
      </c>
      <c r="Z71" s="60">
        <v>10.96</v>
      </c>
      <c r="AA71" s="66"/>
      <c r="AB71" s="66"/>
      <c r="AC71" s="60"/>
      <c r="AD71" s="60"/>
      <c r="AE71" s="60">
        <v>0</v>
      </c>
      <c r="AF71" s="60">
        <v>0</v>
      </c>
      <c r="AG71" s="60">
        <v>49</v>
      </c>
      <c r="AH71" s="60">
        <v>49.5</v>
      </c>
      <c r="AI71" s="60">
        <v>72</v>
      </c>
      <c r="AJ71" s="60">
        <v>73.099999999999994</v>
      </c>
      <c r="AK71" s="60">
        <v>7.8</v>
      </c>
      <c r="AL71" s="60">
        <v>7.8</v>
      </c>
      <c r="AM71" s="60"/>
      <c r="AN71" s="60" t="s">
        <v>128</v>
      </c>
      <c r="AO71" s="60" t="s">
        <v>129</v>
      </c>
      <c r="AQ71" s="69">
        <v>43791</v>
      </c>
      <c r="AR71" s="71" t="s">
        <v>42</v>
      </c>
      <c r="AS71" s="71" t="s">
        <v>124</v>
      </c>
      <c r="AT71" s="72">
        <v>0.58194444444444449</v>
      </c>
      <c r="AU71" s="72">
        <v>0.61249999999999993</v>
      </c>
      <c r="AV71" s="71" t="s">
        <v>130</v>
      </c>
      <c r="AW71" s="71" t="s">
        <v>126</v>
      </c>
      <c r="AX71" s="71" t="s">
        <v>132</v>
      </c>
      <c r="AY71" s="71">
        <v>75</v>
      </c>
      <c r="AZ71" s="68"/>
    </row>
    <row r="72" spans="1:52" x14ac:dyDescent="0.25">
      <c r="A72" s="8">
        <v>44847</v>
      </c>
      <c r="B72" s="3" t="s">
        <v>42</v>
      </c>
      <c r="C72" s="3" t="s">
        <v>10</v>
      </c>
      <c r="D72" s="4">
        <v>11</v>
      </c>
      <c r="E72" s="4">
        <v>88.5</v>
      </c>
      <c r="F72" s="4">
        <v>9.73</v>
      </c>
      <c r="G72" s="4">
        <v>115.9</v>
      </c>
      <c r="H72" s="4">
        <v>158.30000000000001</v>
      </c>
      <c r="I72" s="4">
        <v>0.1</v>
      </c>
      <c r="J72" s="3">
        <v>18.3</v>
      </c>
      <c r="L72" s="57">
        <v>44176</v>
      </c>
      <c r="M72" s="58" t="s">
        <v>18</v>
      </c>
      <c r="N72" s="58" t="s">
        <v>136</v>
      </c>
      <c r="O72" s="63">
        <v>0.49236111111111108</v>
      </c>
      <c r="P72" s="63">
        <v>0.53680555555555554</v>
      </c>
      <c r="Q72" s="58" t="s">
        <v>130</v>
      </c>
      <c r="R72" s="58" t="s">
        <v>126</v>
      </c>
      <c r="S72" s="58" t="s">
        <v>133</v>
      </c>
      <c r="T72" s="58">
        <v>90</v>
      </c>
      <c r="U72" s="58"/>
      <c r="V72" s="58"/>
      <c r="W72" s="58">
        <v>93.4</v>
      </c>
      <c r="X72" s="58">
        <v>95.3</v>
      </c>
      <c r="Y72" s="58">
        <v>11.08</v>
      </c>
      <c r="Z72" s="58">
        <v>11.08</v>
      </c>
      <c r="AA72" s="65"/>
      <c r="AB72" s="65"/>
      <c r="AC72" s="58"/>
      <c r="AD72" s="58"/>
      <c r="AE72" s="58">
        <v>0</v>
      </c>
      <c r="AF72" s="58">
        <v>0</v>
      </c>
      <c r="AG72" s="58">
        <v>71.8</v>
      </c>
      <c r="AH72" s="58">
        <v>71</v>
      </c>
      <c r="AI72" s="58">
        <v>105.4</v>
      </c>
      <c r="AJ72" s="58">
        <v>105.2</v>
      </c>
      <c r="AK72" s="58">
        <v>7.9</v>
      </c>
      <c r="AL72" s="58">
        <v>7.9</v>
      </c>
      <c r="AM72" s="58"/>
      <c r="AN72" s="58" t="s">
        <v>128</v>
      </c>
      <c r="AO72" s="58" t="s">
        <v>129</v>
      </c>
      <c r="AQ72" s="69">
        <v>43791</v>
      </c>
      <c r="AR72" s="71" t="s">
        <v>83</v>
      </c>
      <c r="AS72" s="71" t="s">
        <v>124</v>
      </c>
      <c r="AT72" s="72">
        <v>0.625</v>
      </c>
      <c r="AU72" s="72">
        <v>0.63055555555555554</v>
      </c>
      <c r="AV72" s="71" t="s">
        <v>130</v>
      </c>
      <c r="AW72" s="71" t="s">
        <v>126</v>
      </c>
      <c r="AX72" s="71" t="s">
        <v>127</v>
      </c>
      <c r="AY72" s="71">
        <v>100</v>
      </c>
      <c r="AZ72" s="68"/>
    </row>
    <row r="73" spans="1:52" x14ac:dyDescent="0.25">
      <c r="A73" s="9">
        <v>44847</v>
      </c>
      <c r="B73" s="3" t="s">
        <v>42</v>
      </c>
      <c r="C73" s="3" t="s">
        <v>10</v>
      </c>
      <c r="D73" s="4">
        <v>10.9</v>
      </c>
      <c r="E73" s="4">
        <v>87.6</v>
      </c>
      <c r="F73" s="4">
        <v>9.67</v>
      </c>
      <c r="G73" s="4">
        <v>115.9</v>
      </c>
      <c r="H73" s="4">
        <v>158.69999999999999</v>
      </c>
      <c r="I73" s="4">
        <v>0.1</v>
      </c>
      <c r="J73" s="3">
        <v>18.3</v>
      </c>
      <c r="L73" s="61">
        <v>44176</v>
      </c>
      <c r="M73" s="60" t="s">
        <v>40</v>
      </c>
      <c r="N73" s="60" t="s">
        <v>136</v>
      </c>
      <c r="O73" s="64">
        <v>0.60138888888888886</v>
      </c>
      <c r="P73" s="64">
        <v>0.61458333333333337</v>
      </c>
      <c r="Q73" s="60" t="s">
        <v>125</v>
      </c>
      <c r="R73" s="60" t="s">
        <v>126</v>
      </c>
      <c r="S73" s="60" t="s">
        <v>127</v>
      </c>
      <c r="T73" s="60">
        <v>80</v>
      </c>
      <c r="U73" s="60"/>
      <c r="V73" s="60"/>
      <c r="W73" s="60">
        <v>73.400000000000006</v>
      </c>
      <c r="X73" s="60">
        <v>73.2</v>
      </c>
      <c r="Y73" s="60">
        <v>8.77</v>
      </c>
      <c r="Z73" s="60">
        <v>8.76</v>
      </c>
      <c r="AA73" s="66"/>
      <c r="AB73" s="66"/>
      <c r="AC73" s="60"/>
      <c r="AD73" s="60"/>
      <c r="AE73" s="60">
        <v>0.1</v>
      </c>
      <c r="AF73" s="60">
        <v>0.1</v>
      </c>
      <c r="AG73" s="60">
        <v>100.6</v>
      </c>
      <c r="AH73" s="60">
        <v>100.5</v>
      </c>
      <c r="AI73" s="60">
        <v>150.5</v>
      </c>
      <c r="AJ73" s="60">
        <v>150.5</v>
      </c>
      <c r="AK73" s="60">
        <v>7.6</v>
      </c>
      <c r="AL73" s="60">
        <v>7.6</v>
      </c>
      <c r="AM73" s="60"/>
      <c r="AN73" s="60" t="s">
        <v>128</v>
      </c>
      <c r="AO73" s="60" t="s">
        <v>129</v>
      </c>
      <c r="AQ73" s="69">
        <v>43794</v>
      </c>
      <c r="AR73" s="71" t="s">
        <v>41</v>
      </c>
      <c r="AS73" s="71" t="s">
        <v>124</v>
      </c>
      <c r="AT73" s="72">
        <v>0.59097222222222223</v>
      </c>
      <c r="AU73" s="72">
        <v>0.6069444444444444</v>
      </c>
      <c r="AV73" s="71" t="s">
        <v>130</v>
      </c>
      <c r="AW73" s="71" t="s">
        <v>126</v>
      </c>
      <c r="AX73" s="71" t="s">
        <v>127</v>
      </c>
      <c r="AY73" s="71">
        <v>90</v>
      </c>
      <c r="AZ73" s="68"/>
    </row>
    <row r="74" spans="1:52" x14ac:dyDescent="0.25">
      <c r="A74" s="8">
        <v>44853</v>
      </c>
      <c r="B74" s="3" t="s">
        <v>42</v>
      </c>
      <c r="C74" s="3" t="s">
        <v>13</v>
      </c>
      <c r="D74" s="4">
        <v>10.6</v>
      </c>
      <c r="E74" s="4">
        <v>92.8</v>
      </c>
      <c r="F74" s="4">
        <v>10.35</v>
      </c>
      <c r="G74" s="4">
        <v>108.5</v>
      </c>
      <c r="H74" s="4">
        <v>150.6</v>
      </c>
      <c r="I74" s="4">
        <v>0.1</v>
      </c>
      <c r="J74" s="3">
        <v>8.8000000000000007</v>
      </c>
      <c r="L74" s="57">
        <v>44153</v>
      </c>
      <c r="M74" s="58" t="s">
        <v>44</v>
      </c>
      <c r="N74" s="58" t="s">
        <v>136</v>
      </c>
      <c r="O74" s="63">
        <v>0.55555555555555558</v>
      </c>
      <c r="P74" s="63">
        <v>0.57361111111111118</v>
      </c>
      <c r="Q74" s="58" t="s">
        <v>149</v>
      </c>
      <c r="R74" s="58" t="s">
        <v>138</v>
      </c>
      <c r="S74" s="58" t="s">
        <v>131</v>
      </c>
      <c r="T74" s="58">
        <v>80</v>
      </c>
      <c r="U74" s="58"/>
      <c r="V74" s="58"/>
      <c r="W74" s="58">
        <v>90.7</v>
      </c>
      <c r="X74" s="58">
        <v>90.7</v>
      </c>
      <c r="Y74" s="58">
        <v>10.6</v>
      </c>
      <c r="Z74" s="58">
        <v>10.58</v>
      </c>
      <c r="AA74" s="65"/>
      <c r="AB74" s="65"/>
      <c r="AC74" s="58"/>
      <c r="AD74" s="58"/>
      <c r="AE74" s="58">
        <v>0.1</v>
      </c>
      <c r="AF74" s="58">
        <v>0.1</v>
      </c>
      <c r="AG74" s="58">
        <v>82</v>
      </c>
      <c r="AH74" s="58">
        <v>82</v>
      </c>
      <c r="AI74" s="58">
        <v>119.4</v>
      </c>
      <c r="AJ74" s="58">
        <v>119.5</v>
      </c>
      <c r="AK74" s="58">
        <v>8.6</v>
      </c>
      <c r="AL74" s="58">
        <v>8.6</v>
      </c>
      <c r="AM74" s="58" t="s">
        <v>154</v>
      </c>
      <c r="AN74" s="58" t="s">
        <v>128</v>
      </c>
      <c r="AO74" s="58" t="s">
        <v>129</v>
      </c>
      <c r="AQ74" s="69">
        <v>43794</v>
      </c>
      <c r="AR74" s="71" t="s">
        <v>42</v>
      </c>
      <c r="AS74" s="71" t="s">
        <v>124</v>
      </c>
      <c r="AT74" s="72">
        <v>0.64236111111111105</v>
      </c>
      <c r="AU74" s="72">
        <v>0.67222222222222217</v>
      </c>
      <c r="AV74" s="71" t="s">
        <v>130</v>
      </c>
      <c r="AW74" s="71" t="s">
        <v>126</v>
      </c>
      <c r="AX74" s="71" t="s">
        <v>132</v>
      </c>
      <c r="AY74" s="71">
        <v>75</v>
      </c>
      <c r="AZ74" s="68"/>
    </row>
    <row r="75" spans="1:52" x14ac:dyDescent="0.25">
      <c r="A75" s="8">
        <v>44853</v>
      </c>
      <c r="B75" s="3" t="s">
        <v>42</v>
      </c>
      <c r="C75" s="3" t="s">
        <v>13</v>
      </c>
      <c r="D75" s="4">
        <v>10.4</v>
      </c>
      <c r="E75" s="4">
        <v>92.4</v>
      </c>
      <c r="F75" s="4">
        <v>10.34</v>
      </c>
      <c r="G75" s="4">
        <v>109.1</v>
      </c>
      <c r="H75" s="4">
        <v>151.69999999999999</v>
      </c>
      <c r="I75" s="4">
        <v>0.1</v>
      </c>
      <c r="J75" s="3">
        <v>8.8000000000000007</v>
      </c>
      <c r="L75" s="61">
        <v>44180</v>
      </c>
      <c r="M75" s="60" t="s">
        <v>41</v>
      </c>
      <c r="N75" s="60" t="s">
        <v>136</v>
      </c>
      <c r="O75" s="64">
        <v>0.4375</v>
      </c>
      <c r="P75" s="64">
        <v>0.44791666666666669</v>
      </c>
      <c r="Q75" s="60" t="s">
        <v>130</v>
      </c>
      <c r="R75" s="60" t="s">
        <v>126</v>
      </c>
      <c r="S75" s="60" t="s">
        <v>133</v>
      </c>
      <c r="T75" s="60">
        <v>85</v>
      </c>
      <c r="U75" s="60"/>
      <c r="V75" s="60"/>
      <c r="W75" s="60">
        <v>94.8</v>
      </c>
      <c r="X75" s="60">
        <v>94.6</v>
      </c>
      <c r="Y75" s="60">
        <v>11.93</v>
      </c>
      <c r="Z75" s="60">
        <v>11.9</v>
      </c>
      <c r="AA75" s="66"/>
      <c r="AB75" s="66"/>
      <c r="AC75" s="60"/>
      <c r="AD75" s="60"/>
      <c r="AE75" s="60">
        <v>0.1</v>
      </c>
      <c r="AF75" s="60">
        <v>0.1</v>
      </c>
      <c r="AG75" s="60">
        <v>94</v>
      </c>
      <c r="AH75" s="60">
        <v>93.9</v>
      </c>
      <c r="AI75" s="60">
        <v>149.4</v>
      </c>
      <c r="AJ75" s="60">
        <v>149.69999999999999</v>
      </c>
      <c r="AK75" s="60">
        <v>5.6</v>
      </c>
      <c r="AL75" s="60">
        <v>5.6</v>
      </c>
      <c r="AM75" s="60"/>
      <c r="AN75" s="60" t="s">
        <v>128</v>
      </c>
      <c r="AO75" s="60" t="s">
        <v>129</v>
      </c>
      <c r="AQ75" s="69">
        <v>43795</v>
      </c>
      <c r="AR75" s="71" t="s">
        <v>49</v>
      </c>
      <c r="AS75" s="71" t="s">
        <v>124</v>
      </c>
      <c r="AT75" s="72">
        <v>0.5131944444444444</v>
      </c>
      <c r="AU75" s="72">
        <v>6.7361111111111108E-2</v>
      </c>
      <c r="AV75" s="71" t="s">
        <v>130</v>
      </c>
      <c r="AW75" s="71" t="s">
        <v>138</v>
      </c>
      <c r="AX75" s="71" t="s">
        <v>163</v>
      </c>
      <c r="AY75" s="71">
        <v>80</v>
      </c>
      <c r="AZ75" s="68"/>
    </row>
    <row r="76" spans="1:52" x14ac:dyDescent="0.25">
      <c r="A76" s="8">
        <v>44875</v>
      </c>
      <c r="B76" s="3" t="s">
        <v>42</v>
      </c>
      <c r="C76" s="3" t="s">
        <v>10</v>
      </c>
      <c r="D76" s="4">
        <v>5.5</v>
      </c>
      <c r="E76" s="4">
        <v>82.7</v>
      </c>
      <c r="F76" s="4">
        <v>10.38</v>
      </c>
      <c r="G76" s="4">
        <v>94.9</v>
      </c>
      <c r="H76" s="4">
        <v>151.5</v>
      </c>
      <c r="I76" s="4">
        <v>0.1</v>
      </c>
      <c r="J76" s="3">
        <v>8.8000000000000007</v>
      </c>
      <c r="L76" s="57">
        <v>44180</v>
      </c>
      <c r="M76" s="58" t="s">
        <v>30</v>
      </c>
      <c r="N76" s="58" t="s">
        <v>136</v>
      </c>
      <c r="O76" s="63">
        <v>0.46875</v>
      </c>
      <c r="P76" s="63">
        <v>0.48541666666666666</v>
      </c>
      <c r="Q76" s="58" t="s">
        <v>130</v>
      </c>
      <c r="R76" s="58" t="s">
        <v>126</v>
      </c>
      <c r="S76" s="58" t="s">
        <v>133</v>
      </c>
      <c r="T76" s="58">
        <v>75</v>
      </c>
      <c r="U76" s="58"/>
      <c r="V76" s="58"/>
      <c r="W76" s="58">
        <v>83.4</v>
      </c>
      <c r="X76" s="58">
        <v>83.3</v>
      </c>
      <c r="Y76" s="58">
        <v>10.23</v>
      </c>
      <c r="Z76" s="58">
        <v>10.25</v>
      </c>
      <c r="AA76" s="65"/>
      <c r="AB76" s="65"/>
      <c r="AC76" s="58"/>
      <c r="AD76" s="58"/>
      <c r="AE76" s="58">
        <v>0.1</v>
      </c>
      <c r="AF76" s="58">
        <v>0.1</v>
      </c>
      <c r="AG76" s="58">
        <v>124.3</v>
      </c>
      <c r="AH76" s="58">
        <v>124.3</v>
      </c>
      <c r="AI76" s="58">
        <v>192.4</v>
      </c>
      <c r="AJ76" s="58">
        <v>192.4</v>
      </c>
      <c r="AK76" s="58">
        <v>0.1</v>
      </c>
      <c r="AL76" s="58">
        <v>0.1</v>
      </c>
      <c r="AM76" s="58"/>
      <c r="AN76" s="58" t="s">
        <v>128</v>
      </c>
      <c r="AO76" s="58" t="s">
        <v>129</v>
      </c>
      <c r="AQ76" s="69">
        <v>43795</v>
      </c>
      <c r="AR76" s="71" t="s">
        <v>162</v>
      </c>
      <c r="AS76" s="71" t="s">
        <v>124</v>
      </c>
      <c r="AT76" s="72">
        <v>0.56944444444444442</v>
      </c>
      <c r="AU76" s="72">
        <v>0.63472222222222219</v>
      </c>
      <c r="AV76" s="71" t="s">
        <v>130</v>
      </c>
      <c r="AW76" s="71" t="s">
        <v>138</v>
      </c>
      <c r="AX76" s="71" t="s">
        <v>163</v>
      </c>
      <c r="AY76" s="71">
        <v>80</v>
      </c>
      <c r="AZ76" s="68"/>
    </row>
    <row r="77" spans="1:52" x14ac:dyDescent="0.25">
      <c r="A77" s="8">
        <v>44875</v>
      </c>
      <c r="B77" s="3" t="s">
        <v>42</v>
      </c>
      <c r="C77" s="3" t="s">
        <v>10</v>
      </c>
      <c r="D77" s="4">
        <v>5.3</v>
      </c>
      <c r="E77" s="4">
        <v>82.3</v>
      </c>
      <c r="F77" s="4">
        <v>10.41</v>
      </c>
      <c r="G77" s="4">
        <v>94.8</v>
      </c>
      <c r="H77" s="4">
        <v>151.6</v>
      </c>
      <c r="I77" s="4">
        <v>0.1</v>
      </c>
      <c r="J77" s="3">
        <v>8.8000000000000007</v>
      </c>
      <c r="L77" s="61">
        <v>44180</v>
      </c>
      <c r="M77" s="60" t="s">
        <v>49</v>
      </c>
      <c r="N77" s="60" t="s">
        <v>136</v>
      </c>
      <c r="O77" s="64">
        <v>0.52777777777777779</v>
      </c>
      <c r="P77" s="64">
        <v>0.54652777777777783</v>
      </c>
      <c r="Q77" s="60" t="s">
        <v>130</v>
      </c>
      <c r="R77" s="60" t="s">
        <v>126</v>
      </c>
      <c r="S77" s="60" t="s">
        <v>133</v>
      </c>
      <c r="T77" s="60">
        <v>85</v>
      </c>
      <c r="U77" s="60"/>
      <c r="V77" s="60"/>
      <c r="W77" s="60">
        <v>93.2</v>
      </c>
      <c r="X77" s="60">
        <v>93.2</v>
      </c>
      <c r="Y77" s="60">
        <v>11.11</v>
      </c>
      <c r="Z77" s="60">
        <v>11.13</v>
      </c>
      <c r="AA77" s="66"/>
      <c r="AB77" s="66"/>
      <c r="AC77" s="60"/>
      <c r="AD77" s="60"/>
      <c r="AE77" s="60">
        <v>0.1</v>
      </c>
      <c r="AF77" s="60">
        <v>0.1</v>
      </c>
      <c r="AG77" s="60">
        <v>77.3</v>
      </c>
      <c r="AH77" s="60">
        <v>77.3</v>
      </c>
      <c r="AI77" s="60">
        <v>115.4</v>
      </c>
      <c r="AJ77" s="60">
        <v>115.4</v>
      </c>
      <c r="AK77" s="60">
        <v>7.7</v>
      </c>
      <c r="AL77" s="60">
        <v>7.7</v>
      </c>
      <c r="AM77" s="60"/>
      <c r="AN77" s="60" t="s">
        <v>128</v>
      </c>
      <c r="AO77" s="60" t="s">
        <v>129</v>
      </c>
      <c r="AQ77" s="69">
        <v>43796</v>
      </c>
      <c r="AR77" s="71" t="s">
        <v>30</v>
      </c>
      <c r="AS77" s="71" t="s">
        <v>124</v>
      </c>
      <c r="AT77" s="72">
        <v>0.4284722222222222</v>
      </c>
      <c r="AU77" s="72">
        <v>0.43958333333333338</v>
      </c>
      <c r="AV77" s="71" t="s">
        <v>160</v>
      </c>
      <c r="AW77" s="71" t="s">
        <v>126</v>
      </c>
      <c r="AX77" s="71" t="s">
        <v>163</v>
      </c>
      <c r="AY77" s="71">
        <v>80</v>
      </c>
      <c r="AZ77" s="68"/>
    </row>
    <row r="78" spans="1:52" x14ac:dyDescent="0.25">
      <c r="A78" s="8">
        <v>44883</v>
      </c>
      <c r="B78" s="3" t="s">
        <v>42</v>
      </c>
      <c r="C78" s="3" t="s">
        <v>10</v>
      </c>
      <c r="D78" s="4">
        <v>3.4</v>
      </c>
      <c r="E78" s="4">
        <v>88.6</v>
      </c>
      <c r="F78" s="4">
        <v>11.8</v>
      </c>
      <c r="G78" s="4">
        <v>91.1</v>
      </c>
      <c r="H78" s="4">
        <v>155.4</v>
      </c>
      <c r="I78" s="4">
        <v>0.1</v>
      </c>
      <c r="J78" s="3">
        <v>5.5</v>
      </c>
      <c r="L78" s="57">
        <v>44180</v>
      </c>
      <c r="M78" s="58" t="s">
        <v>63</v>
      </c>
      <c r="N78" s="58" t="s">
        <v>136</v>
      </c>
      <c r="O78" s="63">
        <v>0.54999999999999993</v>
      </c>
      <c r="P78" s="63">
        <v>0.5756944444444444</v>
      </c>
      <c r="Q78" s="58" t="s">
        <v>130</v>
      </c>
      <c r="R78" s="58" t="s">
        <v>126</v>
      </c>
      <c r="S78" s="58" t="s">
        <v>133</v>
      </c>
      <c r="T78" s="58">
        <v>85</v>
      </c>
      <c r="U78" s="58"/>
      <c r="V78" s="58"/>
      <c r="W78" s="58">
        <v>95.3</v>
      </c>
      <c r="X78" s="58">
        <v>94.8</v>
      </c>
      <c r="Y78" s="58">
        <v>11.28</v>
      </c>
      <c r="Z78" s="58">
        <v>11.25</v>
      </c>
      <c r="AA78" s="65"/>
      <c r="AB78" s="65"/>
      <c r="AC78" s="58"/>
      <c r="AD78" s="58"/>
      <c r="AE78" s="58">
        <v>0.1</v>
      </c>
      <c r="AF78" s="58">
        <v>0.1</v>
      </c>
      <c r="AG78" s="58">
        <v>80.2</v>
      </c>
      <c r="AH78" s="58">
        <v>80.2</v>
      </c>
      <c r="AI78" s="58">
        <v>118.8</v>
      </c>
      <c r="AJ78" s="58">
        <v>118.7</v>
      </c>
      <c r="AK78" s="58">
        <v>8</v>
      </c>
      <c r="AL78" s="58">
        <v>8</v>
      </c>
      <c r="AM78" s="58"/>
      <c r="AN78" s="58" t="s">
        <v>128</v>
      </c>
      <c r="AO78" s="58" t="s">
        <v>129</v>
      </c>
      <c r="AQ78" s="69">
        <v>43796</v>
      </c>
      <c r="AR78" s="71" t="s">
        <v>40</v>
      </c>
      <c r="AS78" s="71" t="s">
        <v>124</v>
      </c>
      <c r="AT78" s="72">
        <v>0.46458333333333335</v>
      </c>
      <c r="AU78" s="72">
        <v>0.4770833333333333</v>
      </c>
      <c r="AV78" s="71" t="s">
        <v>160</v>
      </c>
      <c r="AW78" s="71" t="s">
        <v>126</v>
      </c>
      <c r="AX78" s="71" t="s">
        <v>163</v>
      </c>
      <c r="AY78" s="71">
        <v>80</v>
      </c>
      <c r="AZ78" s="68"/>
    </row>
    <row r="79" spans="1:52" x14ac:dyDescent="0.25">
      <c r="A79" s="8">
        <v>44883</v>
      </c>
      <c r="B79" s="3" t="s">
        <v>42</v>
      </c>
      <c r="C79" s="3" t="s">
        <v>10</v>
      </c>
      <c r="D79" s="4">
        <v>3.3</v>
      </c>
      <c r="E79" s="4">
        <v>88</v>
      </c>
      <c r="F79" s="4">
        <v>11.71</v>
      </c>
      <c r="G79" s="4">
        <v>91</v>
      </c>
      <c r="H79" s="4">
        <v>155.1</v>
      </c>
      <c r="I79" s="4">
        <v>0.1</v>
      </c>
      <c r="J79" s="3">
        <v>5.5</v>
      </c>
      <c r="L79" s="61">
        <v>44182</v>
      </c>
      <c r="M79" s="60" t="s">
        <v>42</v>
      </c>
      <c r="N79" s="60" t="s">
        <v>136</v>
      </c>
      <c r="O79" s="64">
        <v>0.5</v>
      </c>
      <c r="P79" s="64">
        <v>0.53472222222222221</v>
      </c>
      <c r="Q79" s="60" t="s">
        <v>130</v>
      </c>
      <c r="R79" s="60" t="s">
        <v>126</v>
      </c>
      <c r="S79" s="60" t="s">
        <v>127</v>
      </c>
      <c r="T79" s="60">
        <v>80</v>
      </c>
      <c r="U79" s="60"/>
      <c r="V79" s="60"/>
      <c r="W79" s="60">
        <v>85.9</v>
      </c>
      <c r="X79" s="60">
        <v>86.9</v>
      </c>
      <c r="Y79" s="60">
        <v>10.43</v>
      </c>
      <c r="Z79" s="60">
        <v>10.59</v>
      </c>
      <c r="AA79" s="66"/>
      <c r="AB79" s="66"/>
      <c r="AC79" s="60"/>
      <c r="AD79" s="60"/>
      <c r="AE79" s="60">
        <v>0</v>
      </c>
      <c r="AF79" s="60">
        <v>0</v>
      </c>
      <c r="AG79" s="60">
        <v>63.8</v>
      </c>
      <c r="AH79" s="60">
        <v>63.9</v>
      </c>
      <c r="AI79" s="60">
        <v>97.7</v>
      </c>
      <c r="AJ79" s="60">
        <v>97.9</v>
      </c>
      <c r="AK79" s="60">
        <v>6.9</v>
      </c>
      <c r="AL79" s="60">
        <v>6.9</v>
      </c>
      <c r="AM79" s="60"/>
      <c r="AN79" s="60" t="s">
        <v>128</v>
      </c>
      <c r="AO79" s="60" t="s">
        <v>129</v>
      </c>
      <c r="AQ79" s="69">
        <v>43796</v>
      </c>
      <c r="AR79" s="71" t="s">
        <v>83</v>
      </c>
      <c r="AS79" s="71" t="s">
        <v>124</v>
      </c>
      <c r="AT79" s="72">
        <v>0.49861111111111112</v>
      </c>
      <c r="AU79" s="72">
        <v>0.50347222222222221</v>
      </c>
      <c r="AV79" s="71" t="s">
        <v>160</v>
      </c>
      <c r="AW79" s="71" t="s">
        <v>126</v>
      </c>
      <c r="AX79" s="71" t="s">
        <v>127</v>
      </c>
      <c r="AY79" s="71">
        <v>95</v>
      </c>
      <c r="AZ79" s="68"/>
    </row>
    <row r="80" spans="1:52" x14ac:dyDescent="0.25">
      <c r="A80" s="8">
        <v>44902</v>
      </c>
      <c r="B80" s="3" t="s">
        <v>42</v>
      </c>
      <c r="C80" s="3" t="s">
        <v>15</v>
      </c>
      <c r="D80" s="4">
        <v>4</v>
      </c>
      <c r="E80" s="4">
        <v>81.8</v>
      </c>
      <c r="F80" s="4">
        <v>10.7</v>
      </c>
      <c r="G80" s="4">
        <v>62.8</v>
      </c>
      <c r="H80" s="4">
        <v>104.8</v>
      </c>
      <c r="I80" s="4">
        <v>0</v>
      </c>
      <c r="J80" s="3">
        <v>6.6</v>
      </c>
      <c r="L80" s="57">
        <v>44182</v>
      </c>
      <c r="M80" s="58" t="s">
        <v>83</v>
      </c>
      <c r="N80" s="58" t="s">
        <v>136</v>
      </c>
      <c r="O80" s="63">
        <v>0.5541666666666667</v>
      </c>
      <c r="P80" s="63">
        <v>0.55625000000000002</v>
      </c>
      <c r="Q80" s="58" t="s">
        <v>130</v>
      </c>
      <c r="R80" s="58" t="s">
        <v>126</v>
      </c>
      <c r="S80" s="58" t="s">
        <v>127</v>
      </c>
      <c r="T80" s="58">
        <v>95</v>
      </c>
      <c r="U80" s="58"/>
      <c r="V80" s="58"/>
      <c r="W80" s="58">
        <v>94.4</v>
      </c>
      <c r="X80" s="58">
        <v>94.4</v>
      </c>
      <c r="Y80" s="58">
        <v>10.98</v>
      </c>
      <c r="Z80" s="58">
        <v>10.98</v>
      </c>
      <c r="AA80" s="65"/>
      <c r="AB80" s="65"/>
      <c r="AC80" s="58"/>
      <c r="AD80" s="58"/>
      <c r="AE80" s="58">
        <v>0.1</v>
      </c>
      <c r="AF80" s="58">
        <v>0.1</v>
      </c>
      <c r="AG80" s="58">
        <v>152.9</v>
      </c>
      <c r="AH80" s="58">
        <v>15.9</v>
      </c>
      <c r="AI80" s="58">
        <v>221.7</v>
      </c>
      <c r="AJ80" s="58">
        <v>221.7</v>
      </c>
      <c r="AK80" s="58">
        <v>8.8000000000000007</v>
      </c>
      <c r="AL80" s="58">
        <v>8.8000000000000007</v>
      </c>
      <c r="AM80" s="58"/>
      <c r="AN80" s="58" t="s">
        <v>128</v>
      </c>
      <c r="AO80" s="58" t="s">
        <v>129</v>
      </c>
      <c r="AQ80" s="69">
        <v>43801</v>
      </c>
      <c r="AR80" s="71" t="s">
        <v>34</v>
      </c>
      <c r="AS80" s="71" t="s">
        <v>124</v>
      </c>
      <c r="AT80" s="72">
        <v>0.48958333333333331</v>
      </c>
      <c r="AU80" s="72">
        <v>0.49374999999999997</v>
      </c>
      <c r="AV80" s="71" t="s">
        <v>160</v>
      </c>
      <c r="AW80" s="71" t="s">
        <v>126</v>
      </c>
      <c r="AX80" s="71" t="s">
        <v>133</v>
      </c>
      <c r="AY80" s="71">
        <v>100</v>
      </c>
      <c r="AZ80" s="68"/>
    </row>
    <row r="81" spans="1:52" x14ac:dyDescent="0.25">
      <c r="A81" s="8">
        <v>44902</v>
      </c>
      <c r="B81" s="3" t="s">
        <v>42</v>
      </c>
      <c r="C81" s="3" t="s">
        <v>15</v>
      </c>
      <c r="D81" s="4">
        <v>4</v>
      </c>
      <c r="E81" s="4">
        <v>81.400000000000006</v>
      </c>
      <c r="F81" s="4">
        <v>10.6</v>
      </c>
      <c r="G81" s="4">
        <v>62.8</v>
      </c>
      <c r="H81" s="4">
        <v>104.8</v>
      </c>
      <c r="I81" s="4">
        <v>0</v>
      </c>
      <c r="J81" s="3">
        <v>6.6</v>
      </c>
      <c r="L81" s="61">
        <v>44182</v>
      </c>
      <c r="M81" s="60" t="s">
        <v>44</v>
      </c>
      <c r="N81" s="60" t="s">
        <v>136</v>
      </c>
      <c r="O81" s="64">
        <v>0.56944444444444442</v>
      </c>
      <c r="P81" s="64">
        <v>0.57708333333333328</v>
      </c>
      <c r="Q81" s="60" t="s">
        <v>130</v>
      </c>
      <c r="R81" s="60" t="s">
        <v>126</v>
      </c>
      <c r="S81" s="60" t="s">
        <v>131</v>
      </c>
      <c r="T81" s="60">
        <v>80</v>
      </c>
      <c r="U81" s="60"/>
      <c r="V81" s="60"/>
      <c r="W81" s="60">
        <v>8.6</v>
      </c>
      <c r="X81" s="60">
        <v>89.1</v>
      </c>
      <c r="Y81" s="60">
        <v>10.71</v>
      </c>
      <c r="Z81" s="60">
        <v>10.67</v>
      </c>
      <c r="AA81" s="66"/>
      <c r="AB81" s="66"/>
      <c r="AC81" s="60"/>
      <c r="AD81" s="60"/>
      <c r="AE81" s="60">
        <v>0.1</v>
      </c>
      <c r="AF81" s="60">
        <v>0.1</v>
      </c>
      <c r="AG81" s="60">
        <v>75.7</v>
      </c>
      <c r="AH81" s="60">
        <v>76</v>
      </c>
      <c r="AI81" s="60">
        <v>113.7</v>
      </c>
      <c r="AJ81" s="60">
        <v>113.6</v>
      </c>
      <c r="AK81" s="60">
        <v>7.6</v>
      </c>
      <c r="AL81" s="60">
        <v>7.5</v>
      </c>
      <c r="AM81" s="60"/>
      <c r="AN81" s="60" t="s">
        <v>128</v>
      </c>
      <c r="AO81" s="60" t="s">
        <v>129</v>
      </c>
      <c r="AQ81" s="69">
        <v>43801</v>
      </c>
      <c r="AR81" s="71" t="s">
        <v>18</v>
      </c>
      <c r="AS81" s="71" t="s">
        <v>124</v>
      </c>
      <c r="AT81" s="72">
        <v>0.52500000000000002</v>
      </c>
      <c r="AU81" s="72">
        <v>0.55486111111111114</v>
      </c>
      <c r="AV81" s="71" t="s">
        <v>160</v>
      </c>
      <c r="AW81" s="71" t="s">
        <v>138</v>
      </c>
      <c r="AX81" s="71" t="s">
        <v>127</v>
      </c>
      <c r="AY81" s="71">
        <v>90</v>
      </c>
      <c r="AZ81" s="68"/>
    </row>
    <row r="82" spans="1:52" x14ac:dyDescent="0.25">
      <c r="A82" s="8">
        <v>44909</v>
      </c>
      <c r="B82" s="3" t="s">
        <v>42</v>
      </c>
      <c r="C82" s="3" t="s">
        <v>10</v>
      </c>
      <c r="D82" s="4">
        <v>4.5999999999999996</v>
      </c>
      <c r="E82" s="4">
        <v>78.400000000000006</v>
      </c>
      <c r="F82" s="4">
        <v>10.119999999999999</v>
      </c>
      <c r="G82" s="4">
        <v>57.1</v>
      </c>
      <c r="H82" s="4">
        <v>93.7</v>
      </c>
      <c r="I82" s="4">
        <v>0</v>
      </c>
      <c r="J82" s="3">
        <v>5.5</v>
      </c>
      <c r="L82" s="57">
        <v>44183</v>
      </c>
      <c r="M82" s="58" t="s">
        <v>40</v>
      </c>
      <c r="N82" s="58" t="s">
        <v>136</v>
      </c>
      <c r="O82" s="63">
        <v>0.43055555555555558</v>
      </c>
      <c r="P82" s="63">
        <v>0.44444444444444442</v>
      </c>
      <c r="Q82" s="58" t="s">
        <v>130</v>
      </c>
      <c r="R82" s="58" t="s">
        <v>126</v>
      </c>
      <c r="S82" s="58" t="s">
        <v>127</v>
      </c>
      <c r="T82" s="58">
        <v>70</v>
      </c>
      <c r="U82" s="58"/>
      <c r="V82" s="58"/>
      <c r="W82" s="58">
        <v>80.2</v>
      </c>
      <c r="X82" s="58">
        <v>79.5</v>
      </c>
      <c r="Y82" s="58">
        <v>9.61</v>
      </c>
      <c r="Z82" s="58">
        <v>9.57</v>
      </c>
      <c r="AA82" s="65"/>
      <c r="AB82" s="65"/>
      <c r="AC82" s="58"/>
      <c r="AD82" s="58"/>
      <c r="AE82" s="58">
        <v>0.1</v>
      </c>
      <c r="AF82" s="58">
        <v>0.1</v>
      </c>
      <c r="AG82" s="58">
        <v>76.7</v>
      </c>
      <c r="AH82" s="58">
        <v>76.5</v>
      </c>
      <c r="AI82" s="58">
        <v>114.7</v>
      </c>
      <c r="AJ82" s="58">
        <v>114.6</v>
      </c>
      <c r="AK82" s="58">
        <v>7.4</v>
      </c>
      <c r="AL82" s="58">
        <v>7.4</v>
      </c>
      <c r="AM82" s="58"/>
      <c r="AN82" s="58" t="s">
        <v>128</v>
      </c>
      <c r="AO82" s="58" t="s">
        <v>129</v>
      </c>
      <c r="AQ82" s="69">
        <v>43802</v>
      </c>
      <c r="AR82" s="71" t="s">
        <v>41</v>
      </c>
      <c r="AS82" s="71" t="s">
        <v>124</v>
      </c>
      <c r="AT82" s="72">
        <v>0.4375</v>
      </c>
      <c r="AU82" s="72">
        <v>0.44930555555555557</v>
      </c>
      <c r="AV82" s="71" t="s">
        <v>130</v>
      </c>
      <c r="AW82" s="71" t="s">
        <v>126</v>
      </c>
      <c r="AX82" s="71" t="s">
        <v>127</v>
      </c>
      <c r="AY82" s="71">
        <v>85</v>
      </c>
      <c r="AZ82" s="68"/>
    </row>
    <row r="83" spans="1:52" x14ac:dyDescent="0.25">
      <c r="A83" s="8">
        <v>44909</v>
      </c>
      <c r="B83" s="3" t="s">
        <v>42</v>
      </c>
      <c r="C83" s="3" t="s">
        <v>10</v>
      </c>
      <c r="D83" s="4">
        <v>4.5999999999999996</v>
      </c>
      <c r="E83" s="4">
        <v>78.3</v>
      </c>
      <c r="F83" s="4">
        <v>10.119999999999999</v>
      </c>
      <c r="G83" s="4">
        <v>57.1</v>
      </c>
      <c r="H83" s="4">
        <v>93.7</v>
      </c>
      <c r="I83" s="4">
        <v>0</v>
      </c>
      <c r="J83" s="3">
        <v>5.5</v>
      </c>
      <c r="L83" s="61">
        <v>44183</v>
      </c>
      <c r="M83" s="60" t="s">
        <v>34</v>
      </c>
      <c r="N83" s="60" t="s">
        <v>136</v>
      </c>
      <c r="O83" s="64">
        <v>0.51041666666666663</v>
      </c>
      <c r="P83" s="64">
        <v>0.51597222222222217</v>
      </c>
      <c r="Q83" s="60" t="s">
        <v>149</v>
      </c>
      <c r="R83" s="60" t="s">
        <v>126</v>
      </c>
      <c r="S83" s="60" t="s">
        <v>133</v>
      </c>
      <c r="T83" s="60">
        <v>95</v>
      </c>
      <c r="U83" s="60"/>
      <c r="V83" s="60"/>
      <c r="W83" s="60">
        <v>96</v>
      </c>
      <c r="X83" s="60">
        <v>95.9</v>
      </c>
      <c r="Y83" s="60">
        <v>11.27</v>
      </c>
      <c r="Z83" s="60">
        <v>11.27</v>
      </c>
      <c r="AA83" s="66"/>
      <c r="AB83" s="66"/>
      <c r="AC83" s="60"/>
      <c r="AD83" s="60"/>
      <c r="AE83" s="60">
        <v>0</v>
      </c>
      <c r="AF83" s="60">
        <v>0</v>
      </c>
      <c r="AG83" s="60">
        <v>63.3</v>
      </c>
      <c r="AH83" s="60">
        <v>63.3</v>
      </c>
      <c r="AI83" s="60">
        <v>92.8</v>
      </c>
      <c r="AJ83" s="60">
        <v>92.8</v>
      </c>
      <c r="AK83" s="60">
        <v>8.3000000000000007</v>
      </c>
      <c r="AL83" s="60">
        <v>8.3000000000000007</v>
      </c>
      <c r="AM83" s="60"/>
      <c r="AN83" s="60" t="s">
        <v>128</v>
      </c>
      <c r="AO83" s="60" t="s">
        <v>129</v>
      </c>
      <c r="AQ83" s="69">
        <v>43802</v>
      </c>
      <c r="AR83" s="71" t="s">
        <v>40</v>
      </c>
      <c r="AS83" s="71" t="s">
        <v>124</v>
      </c>
      <c r="AT83" s="72">
        <v>0.47569444444444442</v>
      </c>
      <c r="AU83" s="72">
        <v>0.48958333333333331</v>
      </c>
      <c r="AV83" s="71" t="s">
        <v>160</v>
      </c>
      <c r="AW83" s="71" t="s">
        <v>126</v>
      </c>
      <c r="AX83" s="71" t="s">
        <v>163</v>
      </c>
      <c r="AY83" s="71">
        <v>80</v>
      </c>
      <c r="AZ83" s="68"/>
    </row>
    <row r="84" spans="1:52" x14ac:dyDescent="0.25">
      <c r="A84" s="8">
        <v>44932</v>
      </c>
      <c r="B84" s="3" t="s">
        <v>42</v>
      </c>
      <c r="C84" s="3" t="s">
        <v>10</v>
      </c>
      <c r="D84" s="4">
        <v>5.5</v>
      </c>
      <c r="E84" s="4">
        <v>79</v>
      </c>
      <c r="F84" s="4">
        <v>8.85</v>
      </c>
      <c r="G84" s="4">
        <v>54.8</v>
      </c>
      <c r="H84" s="4">
        <v>87.5</v>
      </c>
      <c r="I84" s="4">
        <v>0</v>
      </c>
      <c r="J84" s="3">
        <v>5.5</v>
      </c>
      <c r="L84" s="57">
        <v>44183</v>
      </c>
      <c r="M84" s="58" t="s">
        <v>18</v>
      </c>
      <c r="N84" s="58" t="s">
        <v>136</v>
      </c>
      <c r="O84" s="63">
        <v>0.56944444444444442</v>
      </c>
      <c r="P84" s="63">
        <v>0.59652777777777777</v>
      </c>
      <c r="Q84" s="58" t="s">
        <v>149</v>
      </c>
      <c r="R84" s="58" t="s">
        <v>126</v>
      </c>
      <c r="S84" s="58" t="s">
        <v>131</v>
      </c>
      <c r="T84" s="58">
        <v>70</v>
      </c>
      <c r="U84" s="58"/>
      <c r="V84" s="58"/>
      <c r="W84" s="58">
        <v>82.8</v>
      </c>
      <c r="X84" s="58">
        <v>82.7</v>
      </c>
      <c r="Y84" s="58">
        <v>9.76</v>
      </c>
      <c r="Z84" s="58">
        <v>9.76</v>
      </c>
      <c r="AA84" s="65"/>
      <c r="AB84" s="65"/>
      <c r="AC84" s="58"/>
      <c r="AD84" s="58"/>
      <c r="AE84" s="58">
        <v>0</v>
      </c>
      <c r="AF84" s="58">
        <v>0</v>
      </c>
      <c r="AG84" s="58">
        <v>59.6</v>
      </c>
      <c r="AH84" s="58">
        <v>59.6</v>
      </c>
      <c r="AI84" s="58">
        <v>87.9</v>
      </c>
      <c r="AJ84" s="58">
        <v>87.9</v>
      </c>
      <c r="AK84" s="58">
        <v>8.1</v>
      </c>
      <c r="AL84" s="58">
        <v>8.1</v>
      </c>
      <c r="AM84" s="58"/>
      <c r="AN84" s="58" t="s">
        <v>128</v>
      </c>
      <c r="AO84" s="58" t="s">
        <v>129</v>
      </c>
      <c r="AQ84" s="69">
        <v>43802</v>
      </c>
      <c r="AR84" s="71" t="s">
        <v>42</v>
      </c>
      <c r="AS84" s="71" t="s">
        <v>124</v>
      </c>
      <c r="AT84" s="72">
        <v>0.53263888888888888</v>
      </c>
      <c r="AU84" s="72">
        <v>0.56458333333333333</v>
      </c>
      <c r="AV84" s="71" t="s">
        <v>160</v>
      </c>
      <c r="AW84" s="71" t="s">
        <v>126</v>
      </c>
      <c r="AX84" s="71" t="s">
        <v>163</v>
      </c>
      <c r="AY84" s="71">
        <v>80</v>
      </c>
      <c r="AZ84" s="68"/>
    </row>
    <row r="85" spans="1:52" x14ac:dyDescent="0.25">
      <c r="A85" s="8">
        <v>44932</v>
      </c>
      <c r="B85" s="3" t="s">
        <v>42</v>
      </c>
      <c r="C85" s="3" t="s">
        <v>10</v>
      </c>
      <c r="D85" s="4">
        <v>5.6</v>
      </c>
      <c r="E85" s="4">
        <v>78.5</v>
      </c>
      <c r="F85" s="4">
        <v>9.92</v>
      </c>
      <c r="G85" s="4">
        <v>54.7</v>
      </c>
      <c r="H85" s="4">
        <v>87.6</v>
      </c>
      <c r="I85" s="4">
        <v>0</v>
      </c>
      <c r="J85" s="3">
        <v>5.5</v>
      </c>
      <c r="L85" s="61">
        <v>44187</v>
      </c>
      <c r="M85" s="60" t="s">
        <v>49</v>
      </c>
      <c r="N85" s="60" t="s">
        <v>136</v>
      </c>
      <c r="O85" s="64">
        <v>0.47430555555555554</v>
      </c>
      <c r="P85" s="64">
        <v>0.49722222222222223</v>
      </c>
      <c r="Q85" s="60" t="s">
        <v>147</v>
      </c>
      <c r="R85" s="60" t="s">
        <v>138</v>
      </c>
      <c r="S85" s="60" t="s">
        <v>132</v>
      </c>
      <c r="T85" s="60">
        <v>50</v>
      </c>
      <c r="U85" s="60"/>
      <c r="V85" s="60"/>
      <c r="W85" s="60">
        <v>101.6</v>
      </c>
      <c r="X85" s="60">
        <v>101.3</v>
      </c>
      <c r="Y85" s="60">
        <v>12.64</v>
      </c>
      <c r="Z85" s="60">
        <v>12.61</v>
      </c>
      <c r="AA85" s="66"/>
      <c r="AB85" s="66"/>
      <c r="AC85" s="60"/>
      <c r="AD85" s="60"/>
      <c r="AE85" s="60">
        <v>0</v>
      </c>
      <c r="AF85" s="60">
        <v>0</v>
      </c>
      <c r="AG85" s="60">
        <v>51</v>
      </c>
      <c r="AH85" s="60">
        <v>51</v>
      </c>
      <c r="AI85" s="60">
        <v>80</v>
      </c>
      <c r="AJ85" s="60">
        <v>80.099999999999994</v>
      </c>
      <c r="AK85" s="60">
        <v>6</v>
      </c>
      <c r="AL85" s="60">
        <v>6</v>
      </c>
      <c r="AM85" s="60"/>
      <c r="AN85" s="60" t="s">
        <v>128</v>
      </c>
      <c r="AO85" s="60" t="s">
        <v>129</v>
      </c>
      <c r="AQ85" s="69">
        <v>43802</v>
      </c>
      <c r="AR85" s="71" t="s">
        <v>83</v>
      </c>
      <c r="AS85" s="71" t="s">
        <v>124</v>
      </c>
      <c r="AT85" s="72">
        <v>0.57361111111111118</v>
      </c>
      <c r="AU85" s="72">
        <v>0.57777777777777783</v>
      </c>
      <c r="AV85" s="71" t="s">
        <v>160</v>
      </c>
      <c r="AW85" s="71" t="s">
        <v>126</v>
      </c>
      <c r="AX85" s="71" t="s">
        <v>127</v>
      </c>
      <c r="AY85" s="71">
        <v>100</v>
      </c>
      <c r="AZ85" s="68"/>
    </row>
    <row r="86" spans="1:52" x14ac:dyDescent="0.25">
      <c r="A86" s="8">
        <v>44812</v>
      </c>
      <c r="B86" s="3" t="s">
        <v>43</v>
      </c>
      <c r="C86" s="3" t="s">
        <v>27</v>
      </c>
      <c r="D86" s="4">
        <v>13</v>
      </c>
      <c r="E86" s="4">
        <v>89.1</v>
      </c>
      <c r="F86" s="4">
        <v>9.39</v>
      </c>
      <c r="G86" s="4">
        <v>199.3</v>
      </c>
      <c r="H86" s="4">
        <v>259.3</v>
      </c>
      <c r="I86" s="4">
        <v>0.1</v>
      </c>
      <c r="J86" s="3">
        <v>19.399999999999999</v>
      </c>
      <c r="L86" s="57">
        <v>44187</v>
      </c>
      <c r="M86" s="58" t="s">
        <v>63</v>
      </c>
      <c r="N86" s="58" t="s">
        <v>136</v>
      </c>
      <c r="O86" s="63">
        <v>0.5</v>
      </c>
      <c r="P86" s="63">
        <v>0.53402777777777777</v>
      </c>
      <c r="Q86" s="58" t="s">
        <v>147</v>
      </c>
      <c r="R86" s="58" t="s">
        <v>126</v>
      </c>
      <c r="S86" s="58" t="s">
        <v>132</v>
      </c>
      <c r="T86" s="58">
        <v>50</v>
      </c>
      <c r="U86" s="58"/>
      <c r="V86" s="58"/>
      <c r="W86" s="58">
        <v>94.7</v>
      </c>
      <c r="X86" s="58">
        <v>94.6</v>
      </c>
      <c r="Y86" s="58">
        <v>11.79</v>
      </c>
      <c r="Z86" s="58">
        <v>11.76</v>
      </c>
      <c r="AA86" s="65"/>
      <c r="AB86" s="65"/>
      <c r="AC86" s="58"/>
      <c r="AD86" s="58"/>
      <c r="AE86" s="58">
        <v>0</v>
      </c>
      <c r="AF86" s="58">
        <v>0</v>
      </c>
      <c r="AG86" s="58">
        <v>51</v>
      </c>
      <c r="AH86" s="58">
        <v>50.9</v>
      </c>
      <c r="AI86" s="58">
        <v>79.900000000000006</v>
      </c>
      <c r="AJ86" s="58">
        <v>79.900000000000006</v>
      </c>
      <c r="AK86" s="58">
        <v>6</v>
      </c>
      <c r="AL86" s="58">
        <v>6</v>
      </c>
      <c r="AM86" s="58"/>
      <c r="AN86" s="58" t="s">
        <v>128</v>
      </c>
      <c r="AO86" s="58" t="s">
        <v>129</v>
      </c>
      <c r="AQ86" s="69">
        <v>43803</v>
      </c>
      <c r="AR86" s="71" t="s">
        <v>49</v>
      </c>
      <c r="AS86" s="71" t="s">
        <v>124</v>
      </c>
      <c r="AT86" s="72">
        <v>0.4909722222222222</v>
      </c>
      <c r="AU86" s="72">
        <v>0.51180555555555551</v>
      </c>
      <c r="AV86" s="71" t="s">
        <v>160</v>
      </c>
      <c r="AW86" s="71" t="s">
        <v>126</v>
      </c>
      <c r="AX86" s="71" t="s">
        <v>133</v>
      </c>
      <c r="AY86" s="71">
        <v>95</v>
      </c>
      <c r="AZ86" s="68"/>
    </row>
    <row r="87" spans="1:52" x14ac:dyDescent="0.25">
      <c r="A87" s="8">
        <v>44812</v>
      </c>
      <c r="B87" s="3" t="s">
        <v>43</v>
      </c>
      <c r="C87" s="3" t="s">
        <v>27</v>
      </c>
      <c r="D87" s="4">
        <v>12.8</v>
      </c>
      <c r="E87" s="4">
        <v>88.5</v>
      </c>
      <c r="F87" s="4">
        <v>9.36</v>
      </c>
      <c r="G87" s="4">
        <v>197.5</v>
      </c>
      <c r="H87" s="4">
        <v>258.89999999999998</v>
      </c>
      <c r="I87" s="4">
        <v>0.1</v>
      </c>
      <c r="J87" s="3">
        <v>19.399999999999999</v>
      </c>
      <c r="L87" s="61">
        <v>44187</v>
      </c>
      <c r="M87" s="60" t="s">
        <v>30</v>
      </c>
      <c r="N87" s="60" t="s">
        <v>136</v>
      </c>
      <c r="O87" s="64">
        <v>0.58819444444444446</v>
      </c>
      <c r="P87" s="64">
        <v>0.60069444444444442</v>
      </c>
      <c r="Q87" s="60" t="s">
        <v>147</v>
      </c>
      <c r="R87" s="60" t="s">
        <v>126</v>
      </c>
      <c r="S87" s="60" t="s">
        <v>132</v>
      </c>
      <c r="T87" s="60">
        <v>40</v>
      </c>
      <c r="U87" s="60"/>
      <c r="V87" s="60"/>
      <c r="W87" s="60">
        <v>84.8</v>
      </c>
      <c r="X87" s="60">
        <v>84.4</v>
      </c>
      <c r="Y87" s="60">
        <v>10.61</v>
      </c>
      <c r="Z87" s="60">
        <v>10.6</v>
      </c>
      <c r="AA87" s="66"/>
      <c r="AB87" s="66"/>
      <c r="AC87" s="60"/>
      <c r="AD87" s="60"/>
      <c r="AE87" s="60">
        <v>0.1</v>
      </c>
      <c r="AF87" s="60">
        <v>0.1</v>
      </c>
      <c r="AG87" s="60">
        <v>95.1</v>
      </c>
      <c r="AH87" s="60">
        <v>95.1</v>
      </c>
      <c r="AI87" s="60">
        <v>151.69999999999999</v>
      </c>
      <c r="AJ87" s="60">
        <v>151.6</v>
      </c>
      <c r="AK87" s="60">
        <v>5.5</v>
      </c>
      <c r="AL87" s="60">
        <v>5.5</v>
      </c>
      <c r="AM87" s="60"/>
      <c r="AN87" s="60" t="s">
        <v>128</v>
      </c>
      <c r="AO87" s="60" t="s">
        <v>129</v>
      </c>
      <c r="AQ87" s="69">
        <v>43803</v>
      </c>
      <c r="AR87" s="71" t="s">
        <v>162</v>
      </c>
      <c r="AS87" s="71" t="s">
        <v>124</v>
      </c>
      <c r="AT87" s="72">
        <v>0.51388888888888895</v>
      </c>
      <c r="AU87" s="72">
        <v>0.55972222222222223</v>
      </c>
      <c r="AV87" s="71" t="s">
        <v>160</v>
      </c>
      <c r="AW87" s="71" t="s">
        <v>138</v>
      </c>
      <c r="AX87" s="71" t="s">
        <v>133</v>
      </c>
      <c r="AY87" s="71">
        <v>95</v>
      </c>
      <c r="AZ87" s="68"/>
    </row>
    <row r="88" spans="1:52" x14ac:dyDescent="0.25">
      <c r="A88" s="8">
        <v>44826</v>
      </c>
      <c r="B88" s="3" t="s">
        <v>43</v>
      </c>
      <c r="C88" s="3" t="s">
        <v>12</v>
      </c>
      <c r="D88" s="4">
        <v>12.7</v>
      </c>
      <c r="E88" s="4">
        <v>97.6</v>
      </c>
      <c r="F88" s="4">
        <v>10.35</v>
      </c>
      <c r="G88" s="4">
        <v>198.3</v>
      </c>
      <c r="H88" s="4">
        <v>259.7</v>
      </c>
      <c r="I88" s="4">
        <v>0.1</v>
      </c>
      <c r="J88" s="3">
        <v>18.8</v>
      </c>
      <c r="L88" s="57">
        <v>44187</v>
      </c>
      <c r="M88" s="58" t="s">
        <v>41</v>
      </c>
      <c r="N88" s="58" t="s">
        <v>136</v>
      </c>
      <c r="O88" s="63">
        <v>0.62152777777777779</v>
      </c>
      <c r="P88" s="63">
        <v>0.63541666666666663</v>
      </c>
      <c r="Q88" s="58" t="s">
        <v>147</v>
      </c>
      <c r="R88" s="58" t="s">
        <v>126</v>
      </c>
      <c r="S88" s="58" t="s">
        <v>132</v>
      </c>
      <c r="T88" s="58">
        <v>30</v>
      </c>
      <c r="U88" s="58"/>
      <c r="V88" s="58"/>
      <c r="W88" s="58">
        <v>100.9</v>
      </c>
      <c r="X88" s="58">
        <v>100.1</v>
      </c>
      <c r="Y88" s="58">
        <v>12.85</v>
      </c>
      <c r="Z88" s="58">
        <v>12.75</v>
      </c>
      <c r="AA88" s="65"/>
      <c r="AB88" s="65"/>
      <c r="AC88" s="58"/>
      <c r="AD88" s="58"/>
      <c r="AE88" s="58">
        <v>0.1</v>
      </c>
      <c r="AF88" s="58">
        <v>0.1</v>
      </c>
      <c r="AG88" s="58">
        <v>68.599999999999994</v>
      </c>
      <c r="AH88" s="58">
        <v>68.599999999999994</v>
      </c>
      <c r="AI88" s="58">
        <v>111</v>
      </c>
      <c r="AJ88" s="58">
        <v>111</v>
      </c>
      <c r="AK88" s="58">
        <v>5</v>
      </c>
      <c r="AL88" s="58">
        <v>5</v>
      </c>
      <c r="AM88" s="58"/>
      <c r="AN88" s="58" t="s">
        <v>128</v>
      </c>
      <c r="AO88" s="58" t="s">
        <v>129</v>
      </c>
      <c r="AQ88" s="69">
        <v>43803</v>
      </c>
      <c r="AR88" s="71" t="s">
        <v>30</v>
      </c>
      <c r="AS88" s="71" t="s">
        <v>124</v>
      </c>
      <c r="AT88" s="72">
        <v>0.60763888888888895</v>
      </c>
      <c r="AU88" s="72">
        <v>0.62222222222222223</v>
      </c>
      <c r="AV88" s="71" t="s">
        <v>160</v>
      </c>
      <c r="AW88" s="71" t="s">
        <v>126</v>
      </c>
      <c r="AX88" s="71" t="s">
        <v>163</v>
      </c>
      <c r="AY88" s="71">
        <v>80</v>
      </c>
      <c r="AZ88" s="68"/>
    </row>
    <row r="89" spans="1:52" x14ac:dyDescent="0.25">
      <c r="A89" s="8">
        <v>44826</v>
      </c>
      <c r="B89" s="3" t="s">
        <v>43</v>
      </c>
      <c r="C89" s="3" t="s">
        <v>12</v>
      </c>
      <c r="D89" s="4">
        <v>12.6</v>
      </c>
      <c r="E89" s="4">
        <v>97.2</v>
      </c>
      <c r="F89" s="4">
        <v>10.33</v>
      </c>
      <c r="G89" s="4">
        <v>198.2</v>
      </c>
      <c r="H89" s="4">
        <v>259.7</v>
      </c>
      <c r="I89" s="4">
        <v>0.1</v>
      </c>
      <c r="J89" s="3">
        <v>18.8</v>
      </c>
      <c r="L89" s="61">
        <v>44194</v>
      </c>
      <c r="M89" s="60" t="s">
        <v>42</v>
      </c>
      <c r="N89" s="60" t="s">
        <v>136</v>
      </c>
      <c r="O89" s="64">
        <v>0.45694444444444443</v>
      </c>
      <c r="P89" s="64">
        <v>0.49305555555555558</v>
      </c>
      <c r="Q89" s="60" t="s">
        <v>130</v>
      </c>
      <c r="R89" s="60" t="s">
        <v>126</v>
      </c>
      <c r="S89" s="60" t="s">
        <v>133</v>
      </c>
      <c r="T89" s="60">
        <v>85</v>
      </c>
      <c r="U89" s="60"/>
      <c r="V89" s="60"/>
      <c r="W89" s="60">
        <v>77.599999999999994</v>
      </c>
      <c r="X89" s="60">
        <v>77.5</v>
      </c>
      <c r="Y89" s="60">
        <v>9.84</v>
      </c>
      <c r="Z89" s="60">
        <v>9.85</v>
      </c>
      <c r="AA89" s="66"/>
      <c r="AB89" s="66"/>
      <c r="AC89" s="60"/>
      <c r="AD89" s="60"/>
      <c r="AE89" s="60">
        <v>0</v>
      </c>
      <c r="AF89" s="60">
        <v>0</v>
      </c>
      <c r="AG89" s="60">
        <v>54.8</v>
      </c>
      <c r="AH89" s="60">
        <v>54.8</v>
      </c>
      <c r="AI89" s="60">
        <v>88.2</v>
      </c>
      <c r="AJ89" s="60">
        <v>88.4</v>
      </c>
      <c r="AK89" s="60">
        <v>5.2</v>
      </c>
      <c r="AL89" s="60">
        <v>5.0999999999999996</v>
      </c>
      <c r="AM89" s="60" t="s">
        <v>155</v>
      </c>
      <c r="AN89" s="60" t="s">
        <v>128</v>
      </c>
      <c r="AO89" s="60" t="s">
        <v>129</v>
      </c>
      <c r="AQ89" s="69">
        <v>43808</v>
      </c>
      <c r="AR89" s="71" t="s">
        <v>41</v>
      </c>
      <c r="AS89" s="71" t="s">
        <v>124</v>
      </c>
      <c r="AT89" s="72">
        <v>0.60416666666666663</v>
      </c>
      <c r="AU89" s="72">
        <v>0.61597222222222225</v>
      </c>
      <c r="AV89" s="71" t="s">
        <v>160</v>
      </c>
      <c r="AW89" s="71" t="s">
        <v>126</v>
      </c>
      <c r="AX89" s="71" t="s">
        <v>127</v>
      </c>
      <c r="AY89" s="71">
        <v>90</v>
      </c>
      <c r="AZ89" s="68"/>
    </row>
    <row r="90" spans="1:52" x14ac:dyDescent="0.25">
      <c r="A90" s="8">
        <v>44833</v>
      </c>
      <c r="B90" s="3" t="s">
        <v>43</v>
      </c>
      <c r="C90" s="3" t="s">
        <v>10</v>
      </c>
      <c r="D90" s="4">
        <v>12.2</v>
      </c>
      <c r="E90" s="4">
        <v>98.9</v>
      </c>
      <c r="F90" s="4">
        <v>10.63</v>
      </c>
      <c r="G90" s="4">
        <v>194.3</v>
      </c>
      <c r="H90" s="4">
        <v>258.7</v>
      </c>
      <c r="I90" s="4">
        <v>0.1</v>
      </c>
      <c r="J90" s="3">
        <v>15.5</v>
      </c>
      <c r="L90" s="57">
        <v>44194</v>
      </c>
      <c r="M90" s="58" t="s">
        <v>83</v>
      </c>
      <c r="N90" s="58" t="s">
        <v>136</v>
      </c>
      <c r="O90" s="63">
        <v>0.50555555555555554</v>
      </c>
      <c r="P90" s="63">
        <v>0.50694444444444442</v>
      </c>
      <c r="Q90" s="58" t="s">
        <v>130</v>
      </c>
      <c r="R90" s="58" t="s">
        <v>126</v>
      </c>
      <c r="S90" s="58" t="s">
        <v>133</v>
      </c>
      <c r="T90" s="58">
        <v>95</v>
      </c>
      <c r="U90" s="58"/>
      <c r="V90" s="58"/>
      <c r="W90" s="58">
        <v>95.8</v>
      </c>
      <c r="X90" s="58">
        <v>95.5</v>
      </c>
      <c r="Y90" s="58">
        <v>11.56</v>
      </c>
      <c r="Z90" s="58">
        <v>11.51</v>
      </c>
      <c r="AA90" s="65"/>
      <c r="AB90" s="65"/>
      <c r="AC90" s="58"/>
      <c r="AD90" s="58"/>
      <c r="AE90" s="58">
        <v>0.1</v>
      </c>
      <c r="AF90" s="58">
        <v>0.1</v>
      </c>
      <c r="AG90" s="58">
        <v>142.6</v>
      </c>
      <c r="AH90" s="58">
        <v>143.4</v>
      </c>
      <c r="AI90" s="58">
        <v>217.2</v>
      </c>
      <c r="AJ90" s="58">
        <v>217.2</v>
      </c>
      <c r="AK90" s="58">
        <v>7.2</v>
      </c>
      <c r="AL90" s="58">
        <v>7.2</v>
      </c>
      <c r="AM90" s="58"/>
      <c r="AN90" s="58" t="s">
        <v>128</v>
      </c>
      <c r="AO90" s="58" t="s">
        <v>129</v>
      </c>
      <c r="AQ90" s="69">
        <v>43808</v>
      </c>
      <c r="AR90" s="71" t="s">
        <v>40</v>
      </c>
      <c r="AS90" s="71" t="s">
        <v>124</v>
      </c>
      <c r="AT90" s="72">
        <v>0.64444444444444449</v>
      </c>
      <c r="AU90" s="72">
        <v>0.65694444444444444</v>
      </c>
      <c r="AV90" s="71" t="s">
        <v>160</v>
      </c>
      <c r="AW90" s="71" t="s">
        <v>126</v>
      </c>
      <c r="AX90" s="71" t="s">
        <v>163</v>
      </c>
      <c r="AY90" s="71">
        <v>80</v>
      </c>
      <c r="AZ90" s="68"/>
    </row>
    <row r="91" spans="1:52" x14ac:dyDescent="0.25">
      <c r="A91" s="8">
        <v>44833</v>
      </c>
      <c r="B91" s="3" t="s">
        <v>43</v>
      </c>
      <c r="C91" s="3" t="s">
        <v>10</v>
      </c>
      <c r="D91" s="4">
        <v>12</v>
      </c>
      <c r="E91" s="4">
        <v>98.4</v>
      </c>
      <c r="F91" s="4">
        <v>10.59</v>
      </c>
      <c r="G91" s="4">
        <v>194.3</v>
      </c>
      <c r="H91" s="4">
        <v>258.8</v>
      </c>
      <c r="I91" s="4">
        <v>0.1</v>
      </c>
      <c r="J91" s="3">
        <v>15.5</v>
      </c>
      <c r="L91" s="61">
        <v>44194</v>
      </c>
      <c r="M91" s="60" t="s">
        <v>44</v>
      </c>
      <c r="N91" s="60" t="s">
        <v>136</v>
      </c>
      <c r="O91" s="64">
        <v>0.52638888888888891</v>
      </c>
      <c r="P91" s="64">
        <v>0.53125</v>
      </c>
      <c r="Q91" s="60" t="s">
        <v>130</v>
      </c>
      <c r="R91" s="60" t="s">
        <v>126</v>
      </c>
      <c r="S91" s="60" t="s">
        <v>133</v>
      </c>
      <c r="T91" s="60">
        <v>80</v>
      </c>
      <c r="U91" s="60"/>
      <c r="V91" s="60"/>
      <c r="W91" s="60">
        <v>100.5</v>
      </c>
      <c r="X91" s="60">
        <v>100.4</v>
      </c>
      <c r="Y91" s="60">
        <v>12.65</v>
      </c>
      <c r="Z91" s="60">
        <v>12.68</v>
      </c>
      <c r="AA91" s="66"/>
      <c r="AB91" s="66"/>
      <c r="AC91" s="60"/>
      <c r="AD91" s="60"/>
      <c r="AE91" s="60">
        <v>0</v>
      </c>
      <c r="AF91" s="60">
        <v>0</v>
      </c>
      <c r="AG91" s="60">
        <v>58</v>
      </c>
      <c r="AH91" s="60">
        <v>58</v>
      </c>
      <c r="AI91" s="60">
        <v>92.5</v>
      </c>
      <c r="AJ91" s="60">
        <v>92.6</v>
      </c>
      <c r="AK91" s="60">
        <v>5.5</v>
      </c>
      <c r="AL91" s="60">
        <v>5.5</v>
      </c>
      <c r="AM91" s="60"/>
      <c r="AN91" s="60" t="s">
        <v>128</v>
      </c>
      <c r="AO91" s="60" t="s">
        <v>129</v>
      </c>
      <c r="AQ91" s="69">
        <v>43809</v>
      </c>
      <c r="AR91" s="71" t="s">
        <v>34</v>
      </c>
      <c r="AS91" s="71" t="s">
        <v>124</v>
      </c>
      <c r="AT91" s="72">
        <v>0.49652777777777773</v>
      </c>
      <c r="AU91" s="72">
        <v>0.50416666666666665</v>
      </c>
      <c r="AV91" s="71" t="s">
        <v>160</v>
      </c>
      <c r="AW91" s="71" t="s">
        <v>126</v>
      </c>
      <c r="AX91" s="71" t="s">
        <v>133</v>
      </c>
      <c r="AY91" s="71">
        <v>95</v>
      </c>
      <c r="AZ91" s="68"/>
    </row>
    <row r="92" spans="1:52" x14ac:dyDescent="0.25">
      <c r="A92" s="8">
        <v>44840</v>
      </c>
      <c r="B92" s="3" t="s">
        <v>43</v>
      </c>
      <c r="C92" s="3" t="s">
        <v>10</v>
      </c>
      <c r="D92" s="4">
        <v>11.4</v>
      </c>
      <c r="E92" s="4">
        <v>94.7</v>
      </c>
      <c r="F92" s="4">
        <v>10.32</v>
      </c>
      <c r="G92" s="4">
        <v>191.2</v>
      </c>
      <c r="H92" s="4">
        <v>258.2</v>
      </c>
      <c r="I92" s="4">
        <v>0.1</v>
      </c>
      <c r="J92" s="3">
        <v>12.7</v>
      </c>
      <c r="L92" s="57">
        <v>44194</v>
      </c>
      <c r="M92" s="58" t="s">
        <v>40</v>
      </c>
      <c r="N92" s="58" t="s">
        <v>136</v>
      </c>
      <c r="O92" s="63">
        <v>0.56805555555555554</v>
      </c>
      <c r="P92" s="63">
        <v>0.58611111111111114</v>
      </c>
      <c r="Q92" s="58" t="s">
        <v>130</v>
      </c>
      <c r="R92" s="58" t="s">
        <v>126</v>
      </c>
      <c r="S92" s="58" t="s">
        <v>133</v>
      </c>
      <c r="T92" s="58">
        <v>80</v>
      </c>
      <c r="U92" s="58"/>
      <c r="V92" s="58"/>
      <c r="W92" s="58">
        <v>82</v>
      </c>
      <c r="X92" s="58">
        <v>82.1</v>
      </c>
      <c r="Y92" s="58">
        <v>10.01</v>
      </c>
      <c r="Z92" s="58">
        <v>10.02</v>
      </c>
      <c r="AA92" s="65"/>
      <c r="AB92" s="65"/>
      <c r="AC92" s="58"/>
      <c r="AD92" s="58"/>
      <c r="AE92" s="58">
        <v>0.1</v>
      </c>
      <c r="AF92" s="58">
        <v>0.1</v>
      </c>
      <c r="AG92" s="58">
        <v>80.7</v>
      </c>
      <c r="AH92" s="58">
        <v>80.7</v>
      </c>
      <c r="AI92" s="58">
        <v>124.2</v>
      </c>
      <c r="AJ92" s="58">
        <v>124.1</v>
      </c>
      <c r="AK92" s="58">
        <v>6.7</v>
      </c>
      <c r="AL92" s="58">
        <v>6.7</v>
      </c>
      <c r="AM92" s="58"/>
      <c r="AN92" s="58" t="s">
        <v>128</v>
      </c>
      <c r="AO92" s="58" t="s">
        <v>129</v>
      </c>
      <c r="AQ92" s="69">
        <v>43809</v>
      </c>
      <c r="AR92" s="71" t="s">
        <v>18</v>
      </c>
      <c r="AS92" s="71" t="s">
        <v>124</v>
      </c>
      <c r="AT92" s="72">
        <v>0.54513888888888895</v>
      </c>
      <c r="AU92" s="72">
        <v>0.57361111111111118</v>
      </c>
      <c r="AV92" s="71" t="s">
        <v>160</v>
      </c>
      <c r="AW92" s="71" t="s">
        <v>126</v>
      </c>
      <c r="AX92" s="71" t="s">
        <v>127</v>
      </c>
      <c r="AY92" s="71">
        <v>90</v>
      </c>
      <c r="AZ92" s="68"/>
    </row>
    <row r="93" spans="1:52" x14ac:dyDescent="0.25">
      <c r="A93" s="8">
        <v>44840</v>
      </c>
      <c r="B93" s="3" t="s">
        <v>43</v>
      </c>
      <c r="C93" s="3" t="s">
        <v>10</v>
      </c>
      <c r="D93" s="4">
        <v>11.4</v>
      </c>
      <c r="E93" s="4">
        <v>94.3</v>
      </c>
      <c r="F93" s="4">
        <v>10.26</v>
      </c>
      <c r="G93" s="4">
        <v>191.1</v>
      </c>
      <c r="H93" s="4">
        <v>258.2</v>
      </c>
      <c r="I93" s="4">
        <v>0.1</v>
      </c>
      <c r="J93" s="3">
        <v>12.7</v>
      </c>
      <c r="L93" s="61">
        <v>44195</v>
      </c>
      <c r="M93" s="60" t="s">
        <v>34</v>
      </c>
      <c r="N93" s="60" t="s">
        <v>136</v>
      </c>
      <c r="O93" s="64">
        <v>0.47638888888888892</v>
      </c>
      <c r="P93" s="64">
        <v>0.47986111111111113</v>
      </c>
      <c r="Q93" s="60" t="s">
        <v>147</v>
      </c>
      <c r="R93" s="60" t="s">
        <v>126</v>
      </c>
      <c r="S93" s="60" t="s">
        <v>127</v>
      </c>
      <c r="T93" s="60">
        <v>95</v>
      </c>
      <c r="U93" s="60"/>
      <c r="V93" s="60"/>
      <c r="W93" s="60">
        <v>99.8</v>
      </c>
      <c r="X93" s="60">
        <v>99.7</v>
      </c>
      <c r="Y93" s="60">
        <v>11.93</v>
      </c>
      <c r="Z93" s="60">
        <v>11.95</v>
      </c>
      <c r="AA93" s="66"/>
      <c r="AB93" s="66"/>
      <c r="AC93" s="60"/>
      <c r="AD93" s="60"/>
      <c r="AE93" s="60">
        <v>0</v>
      </c>
      <c r="AF93" s="60">
        <v>0</v>
      </c>
      <c r="AG93" s="60">
        <v>51</v>
      </c>
      <c r="AH93" s="60">
        <v>50.9</v>
      </c>
      <c r="AI93" s="60">
        <v>76.5</v>
      </c>
      <c r="AJ93" s="60">
        <v>76.3</v>
      </c>
      <c r="AK93" s="60">
        <v>7.7</v>
      </c>
      <c r="AL93" s="60">
        <v>7.6</v>
      </c>
      <c r="AM93" s="60" t="s">
        <v>156</v>
      </c>
      <c r="AN93" s="60" t="s">
        <v>128</v>
      </c>
      <c r="AO93" s="60" t="s">
        <v>129</v>
      </c>
      <c r="AQ93" s="69">
        <v>43810</v>
      </c>
      <c r="AR93" s="71" t="s">
        <v>49</v>
      </c>
      <c r="AS93" s="71" t="s">
        <v>124</v>
      </c>
      <c r="AT93" s="72">
        <v>0.46597222222222223</v>
      </c>
      <c r="AU93" s="72">
        <v>0.50972222222222219</v>
      </c>
      <c r="AV93" s="71" t="s">
        <v>130</v>
      </c>
      <c r="AW93" s="71" t="s">
        <v>138</v>
      </c>
      <c r="AX93" s="71" t="s">
        <v>127</v>
      </c>
      <c r="AY93" s="71">
        <v>90</v>
      </c>
      <c r="AZ93" s="68"/>
    </row>
    <row r="94" spans="1:52" x14ac:dyDescent="0.25">
      <c r="A94" s="8">
        <v>44845</v>
      </c>
      <c r="B94" s="3" t="s">
        <v>43</v>
      </c>
      <c r="C94" s="3" t="s">
        <v>10</v>
      </c>
      <c r="D94" s="4">
        <v>11.5</v>
      </c>
      <c r="E94" s="4">
        <v>97.4</v>
      </c>
      <c r="F94" s="4">
        <v>10.61</v>
      </c>
      <c r="G94" s="4">
        <v>192.2</v>
      </c>
      <c r="H94" s="4">
        <v>259.3</v>
      </c>
      <c r="I94" s="4">
        <v>0.1</v>
      </c>
      <c r="J94" s="3">
        <v>16.100000000000001</v>
      </c>
      <c r="L94" s="57">
        <v>44195</v>
      </c>
      <c r="M94" s="58" t="s">
        <v>18</v>
      </c>
      <c r="N94" s="58" t="s">
        <v>136</v>
      </c>
      <c r="O94" s="63">
        <v>0.51666666666666672</v>
      </c>
      <c r="P94" s="63">
        <v>0.54513888888888895</v>
      </c>
      <c r="Q94" s="58" t="s">
        <v>149</v>
      </c>
      <c r="R94" s="58" t="s">
        <v>126</v>
      </c>
      <c r="S94" s="58" t="s">
        <v>131</v>
      </c>
      <c r="T94" s="58">
        <v>65</v>
      </c>
      <c r="U94" s="58"/>
      <c r="V94" s="58"/>
      <c r="W94" s="58">
        <v>97.8</v>
      </c>
      <c r="X94" s="58">
        <v>98.3</v>
      </c>
      <c r="Y94" s="58">
        <v>11.85</v>
      </c>
      <c r="Z94" s="58">
        <v>11.87</v>
      </c>
      <c r="AA94" s="65"/>
      <c r="AB94" s="65"/>
      <c r="AC94" s="58"/>
      <c r="AD94" s="58"/>
      <c r="AE94" s="58">
        <v>0</v>
      </c>
      <c r="AF94" s="58">
        <v>0</v>
      </c>
      <c r="AG94" s="58">
        <v>47.4</v>
      </c>
      <c r="AH94" s="58">
        <v>47.4</v>
      </c>
      <c r="AI94" s="58">
        <v>71.8</v>
      </c>
      <c r="AJ94" s="58">
        <v>71</v>
      </c>
      <c r="AK94" s="58">
        <v>7.2</v>
      </c>
      <c r="AL94" s="58">
        <v>7.2</v>
      </c>
      <c r="AM94" s="58"/>
      <c r="AN94" s="58" t="s">
        <v>128</v>
      </c>
      <c r="AO94" s="58" t="s">
        <v>129</v>
      </c>
      <c r="AQ94" s="69">
        <v>43810</v>
      </c>
      <c r="AR94" s="71" t="s">
        <v>162</v>
      </c>
      <c r="AS94" s="71" t="s">
        <v>124</v>
      </c>
      <c r="AT94" s="72">
        <v>0.51111111111111118</v>
      </c>
      <c r="AU94" s="72">
        <v>0.58402777777777781</v>
      </c>
      <c r="AV94" s="71" t="s">
        <v>130</v>
      </c>
      <c r="AW94" s="71" t="s">
        <v>138</v>
      </c>
      <c r="AX94" s="71" t="s">
        <v>127</v>
      </c>
      <c r="AY94" s="71">
        <v>90</v>
      </c>
      <c r="AZ94" s="68"/>
    </row>
    <row r="95" spans="1:52" x14ac:dyDescent="0.25">
      <c r="A95" s="8">
        <v>44845</v>
      </c>
      <c r="B95" s="3" t="s">
        <v>43</v>
      </c>
      <c r="C95" s="3" t="s">
        <v>10</v>
      </c>
      <c r="D95" s="4">
        <v>11.5</v>
      </c>
      <c r="E95" s="4">
        <v>95.8</v>
      </c>
      <c r="F95" s="4">
        <v>10.42</v>
      </c>
      <c r="G95" s="4">
        <v>192.3</v>
      </c>
      <c r="H95" s="4">
        <v>259.5</v>
      </c>
      <c r="I95" s="4">
        <v>0.1</v>
      </c>
      <c r="J95" s="3">
        <v>16.100000000000001</v>
      </c>
      <c r="L95" s="61">
        <v>44204</v>
      </c>
      <c r="M95" s="60" t="s">
        <v>49</v>
      </c>
      <c r="N95" s="60" t="s">
        <v>136</v>
      </c>
      <c r="O95" s="64">
        <v>0.50069444444444444</v>
      </c>
      <c r="P95" s="64">
        <v>0.52638888888888891</v>
      </c>
      <c r="Q95" s="60" t="s">
        <v>147</v>
      </c>
      <c r="R95" s="60" t="s">
        <v>126</v>
      </c>
      <c r="S95" s="60" t="s">
        <v>131</v>
      </c>
      <c r="T95" s="60">
        <v>65</v>
      </c>
      <c r="U95" s="60"/>
      <c r="V95" s="60"/>
      <c r="W95" s="60">
        <v>95.4</v>
      </c>
      <c r="X95" s="60">
        <v>95.1</v>
      </c>
      <c r="Y95" s="60">
        <v>11.7</v>
      </c>
      <c r="Z95" s="60">
        <v>11.68</v>
      </c>
      <c r="AA95" s="66"/>
      <c r="AB95" s="66"/>
      <c r="AC95" s="60"/>
      <c r="AD95" s="60"/>
      <c r="AE95" s="60">
        <v>0</v>
      </c>
      <c r="AF95" s="60">
        <v>0</v>
      </c>
      <c r="AG95" s="60">
        <v>29.6</v>
      </c>
      <c r="AH95" s="60">
        <v>29.5</v>
      </c>
      <c r="AI95" s="60">
        <v>45.6</v>
      </c>
      <c r="AJ95" s="60">
        <v>45.5</v>
      </c>
      <c r="AK95" s="60">
        <v>6.6</v>
      </c>
      <c r="AL95" s="60">
        <v>6.6</v>
      </c>
      <c r="AM95" s="60" t="s">
        <v>157</v>
      </c>
      <c r="AN95" s="60" t="s">
        <v>128</v>
      </c>
      <c r="AO95" s="60" t="s">
        <v>129</v>
      </c>
      <c r="AQ95" s="69">
        <v>43811</v>
      </c>
      <c r="AR95" s="71" t="s">
        <v>30</v>
      </c>
      <c r="AS95" s="71" t="s">
        <v>124</v>
      </c>
      <c r="AT95" s="72">
        <v>0.58472222222222225</v>
      </c>
      <c r="AU95" s="72">
        <v>0.6</v>
      </c>
      <c r="AV95" s="71" t="s">
        <v>160</v>
      </c>
      <c r="AW95" s="71" t="s">
        <v>126</v>
      </c>
      <c r="AX95" s="71" t="s">
        <v>132</v>
      </c>
      <c r="AY95" s="71">
        <v>70</v>
      </c>
      <c r="AZ95" s="68"/>
    </row>
    <row r="96" spans="1:52" x14ac:dyDescent="0.25">
      <c r="A96" s="8">
        <v>44854</v>
      </c>
      <c r="B96" s="3" t="s">
        <v>43</v>
      </c>
      <c r="C96" s="3" t="s">
        <v>10</v>
      </c>
      <c r="D96" s="4">
        <v>11.2</v>
      </c>
      <c r="E96" s="4">
        <v>97</v>
      </c>
      <c r="F96" s="4">
        <v>10.61</v>
      </c>
      <c r="G96" s="4">
        <v>191.3</v>
      </c>
      <c r="H96" s="4">
        <v>259.60000000000002</v>
      </c>
      <c r="I96" s="4">
        <v>0.1</v>
      </c>
      <c r="J96" s="3">
        <v>15.5</v>
      </c>
      <c r="L96" s="57">
        <v>44204</v>
      </c>
      <c r="M96" s="58" t="s">
        <v>63</v>
      </c>
      <c r="N96" s="58" t="s">
        <v>137</v>
      </c>
      <c r="O96" s="63">
        <v>0.53472222222222221</v>
      </c>
      <c r="P96" s="63">
        <v>0.56805555555555554</v>
      </c>
      <c r="Q96" s="58" t="s">
        <v>147</v>
      </c>
      <c r="R96" s="58" t="s">
        <v>126</v>
      </c>
      <c r="S96" s="58" t="s">
        <v>131</v>
      </c>
      <c r="T96" s="58">
        <v>70</v>
      </c>
      <c r="U96" s="58"/>
      <c r="V96" s="58"/>
      <c r="W96" s="58">
        <v>97.8</v>
      </c>
      <c r="X96" s="58">
        <v>97.4</v>
      </c>
      <c r="Y96" s="58">
        <v>11.98</v>
      </c>
      <c r="Z96" s="58">
        <v>11.92</v>
      </c>
      <c r="AA96" s="65"/>
      <c r="AB96" s="65"/>
      <c r="AC96" s="58"/>
      <c r="AD96" s="58"/>
      <c r="AE96" s="58">
        <v>0</v>
      </c>
      <c r="AF96" s="58">
        <v>0</v>
      </c>
      <c r="AG96" s="58">
        <v>29.4</v>
      </c>
      <c r="AH96" s="58">
        <v>29.4</v>
      </c>
      <c r="AI96" s="58">
        <v>45.4</v>
      </c>
      <c r="AJ96" s="58">
        <v>45.4</v>
      </c>
      <c r="AK96" s="58">
        <v>6.6</v>
      </c>
      <c r="AL96" s="58">
        <v>6.6</v>
      </c>
      <c r="AM96" s="58" t="s">
        <v>158</v>
      </c>
      <c r="AN96" s="58" t="s">
        <v>128</v>
      </c>
      <c r="AO96" s="58" t="s">
        <v>129</v>
      </c>
      <c r="AQ96" s="69">
        <v>43811</v>
      </c>
      <c r="AR96" s="71" t="s">
        <v>83</v>
      </c>
      <c r="AS96" s="71" t="s">
        <v>124</v>
      </c>
      <c r="AT96" s="72">
        <v>0.64027777777777783</v>
      </c>
      <c r="AU96" s="72">
        <v>0.64722222222222225</v>
      </c>
      <c r="AV96" s="71" t="s">
        <v>130</v>
      </c>
      <c r="AW96" s="71" t="s">
        <v>126</v>
      </c>
      <c r="AX96" s="71" t="s">
        <v>127</v>
      </c>
      <c r="AY96" s="71">
        <v>90</v>
      </c>
      <c r="AZ96" s="68"/>
    </row>
    <row r="97" spans="1:52" x14ac:dyDescent="0.25">
      <c r="A97" s="8">
        <v>44854</v>
      </c>
      <c r="B97" s="3" t="s">
        <v>43</v>
      </c>
      <c r="C97" s="3" t="s">
        <v>10</v>
      </c>
      <c r="D97" s="4">
        <v>11.2</v>
      </c>
      <c r="E97" s="4">
        <v>97</v>
      </c>
      <c r="F97" s="4">
        <v>10.66</v>
      </c>
      <c r="G97" s="4">
        <v>191.2</v>
      </c>
      <c r="H97" s="4">
        <v>259.60000000000002</v>
      </c>
      <c r="I97" s="4">
        <v>0.1</v>
      </c>
      <c r="J97" s="3">
        <v>15.5</v>
      </c>
      <c r="L97" s="61">
        <v>44204</v>
      </c>
      <c r="M97" s="60" t="s">
        <v>30</v>
      </c>
      <c r="N97" s="60" t="s">
        <v>136</v>
      </c>
      <c r="O97" s="64">
        <v>0.63194444444444442</v>
      </c>
      <c r="P97" s="64">
        <v>0.64166666666666672</v>
      </c>
      <c r="Q97" s="60" t="s">
        <v>147</v>
      </c>
      <c r="R97" s="60" t="s">
        <v>126</v>
      </c>
      <c r="S97" s="60" t="s">
        <v>132</v>
      </c>
      <c r="T97" s="60">
        <v>40</v>
      </c>
      <c r="U97" s="60"/>
      <c r="V97" s="60"/>
      <c r="W97" s="60">
        <v>83</v>
      </c>
      <c r="X97" s="60">
        <v>82.5</v>
      </c>
      <c r="Y97" s="60">
        <v>10.02</v>
      </c>
      <c r="Z97" s="60">
        <v>9.9600000000000009</v>
      </c>
      <c r="AA97" s="66"/>
      <c r="AB97" s="66"/>
      <c r="AC97" s="60"/>
      <c r="AD97" s="60"/>
      <c r="AE97" s="60">
        <v>0.1</v>
      </c>
      <c r="AF97" s="60">
        <v>0.1</v>
      </c>
      <c r="AG97" s="60">
        <v>71.400000000000006</v>
      </c>
      <c r="AH97" s="60">
        <v>71.5</v>
      </c>
      <c r="AI97" s="60">
        <v>109.8</v>
      </c>
      <c r="AJ97" s="60">
        <v>109.7</v>
      </c>
      <c r="AK97" s="60">
        <v>6.8</v>
      </c>
      <c r="AL97" s="60">
        <v>6.8</v>
      </c>
      <c r="AM97" s="60" t="s">
        <v>159</v>
      </c>
      <c r="AN97" s="60" t="s">
        <v>128</v>
      </c>
      <c r="AO97" s="60" t="s">
        <v>129</v>
      </c>
      <c r="AQ97" s="69">
        <v>43815</v>
      </c>
      <c r="AR97" s="71" t="s">
        <v>42</v>
      </c>
      <c r="AS97" s="71" t="s">
        <v>124</v>
      </c>
      <c r="AT97" s="72">
        <v>0.46666666666666662</v>
      </c>
      <c r="AU97" s="72">
        <v>0.50416666666666665</v>
      </c>
      <c r="AV97" s="71" t="s">
        <v>160</v>
      </c>
      <c r="AW97" s="71" t="s">
        <v>126</v>
      </c>
      <c r="AX97" s="71" t="s">
        <v>163</v>
      </c>
      <c r="AY97" s="71">
        <v>85</v>
      </c>
      <c r="AZ97" s="68"/>
    </row>
    <row r="98" spans="1:52" x14ac:dyDescent="0.25">
      <c r="A98" s="8">
        <v>44873</v>
      </c>
      <c r="B98" s="3" t="s">
        <v>43</v>
      </c>
      <c r="C98" s="3" t="s">
        <v>28</v>
      </c>
      <c r="D98" s="4">
        <v>7</v>
      </c>
      <c r="E98" s="4">
        <v>96.3</v>
      </c>
      <c r="F98" s="4">
        <v>11.69</v>
      </c>
      <c r="G98" s="4">
        <v>158.5</v>
      </c>
      <c r="H98" s="4">
        <v>241.9</v>
      </c>
      <c r="I98" s="4">
        <v>0.1</v>
      </c>
      <c r="J98" s="3">
        <v>8.8000000000000007</v>
      </c>
      <c r="AQ98" s="69">
        <v>43816</v>
      </c>
      <c r="AR98" s="71" t="s">
        <v>34</v>
      </c>
      <c r="AS98" s="71" t="s">
        <v>124</v>
      </c>
      <c r="AT98" s="72">
        <v>0.52083333333333337</v>
      </c>
      <c r="AU98" s="72">
        <v>0.52569444444444446</v>
      </c>
      <c r="AV98" s="71" t="s">
        <v>160</v>
      </c>
      <c r="AW98" s="71" t="s">
        <v>126</v>
      </c>
      <c r="AX98" s="71" t="s">
        <v>133</v>
      </c>
      <c r="AY98" s="71">
        <v>100</v>
      </c>
      <c r="AZ98" s="68"/>
    </row>
    <row r="99" spans="1:52" x14ac:dyDescent="0.25">
      <c r="A99" s="8">
        <v>44873</v>
      </c>
      <c r="B99" s="3" t="s">
        <v>43</v>
      </c>
      <c r="C99" s="3" t="s">
        <v>10</v>
      </c>
      <c r="D99" s="4">
        <v>7</v>
      </c>
      <c r="E99" s="4">
        <v>96.1</v>
      </c>
      <c r="F99" s="4">
        <v>11.68</v>
      </c>
      <c r="G99" s="4">
        <v>158.6</v>
      </c>
      <c r="H99" s="4">
        <v>242.2</v>
      </c>
      <c r="I99" s="4">
        <v>0.1</v>
      </c>
      <c r="J99" s="3">
        <v>8.8000000000000007</v>
      </c>
      <c r="AQ99" s="69">
        <v>43816</v>
      </c>
      <c r="AR99" s="71" t="s">
        <v>18</v>
      </c>
      <c r="AS99" s="71" t="s">
        <v>124</v>
      </c>
      <c r="AT99" s="72">
        <v>0.56597222222222221</v>
      </c>
      <c r="AU99" s="72">
        <v>0.59791666666666665</v>
      </c>
      <c r="AV99" s="71" t="s">
        <v>160</v>
      </c>
      <c r="AW99" s="71" t="s">
        <v>126</v>
      </c>
      <c r="AX99" s="71" t="s">
        <v>127</v>
      </c>
      <c r="AY99" s="71">
        <v>90</v>
      </c>
      <c r="AZ99" s="68"/>
    </row>
    <row r="100" spans="1:52" x14ac:dyDescent="0.25">
      <c r="A100" s="8">
        <v>44883</v>
      </c>
      <c r="B100" s="3" t="s">
        <v>43</v>
      </c>
      <c r="C100" s="3" t="s">
        <v>10</v>
      </c>
      <c r="D100" s="4">
        <v>5.8</v>
      </c>
      <c r="E100" s="4">
        <v>93.8</v>
      </c>
      <c r="F100" s="4">
        <v>11.15</v>
      </c>
      <c r="G100" s="4">
        <v>161</v>
      </c>
      <c r="H100" s="4">
        <v>254.2</v>
      </c>
      <c r="I100" s="4">
        <v>0.1</v>
      </c>
      <c r="J100" s="3">
        <v>6.1</v>
      </c>
      <c r="AQ100" s="69">
        <v>43818</v>
      </c>
      <c r="AR100" s="71" t="s">
        <v>30</v>
      </c>
      <c r="AS100" s="71" t="s">
        <v>124</v>
      </c>
      <c r="AT100" s="72">
        <v>0.56041666666666667</v>
      </c>
      <c r="AU100" s="72">
        <v>0.57291666666666663</v>
      </c>
      <c r="AV100" s="71" t="s">
        <v>130</v>
      </c>
      <c r="AW100" s="71" t="s">
        <v>126</v>
      </c>
      <c r="AX100" s="71" t="s">
        <v>163</v>
      </c>
      <c r="AY100" s="71">
        <v>85</v>
      </c>
      <c r="AZ100" s="68"/>
    </row>
    <row r="101" spans="1:52" x14ac:dyDescent="0.25">
      <c r="A101" s="8">
        <v>44883</v>
      </c>
      <c r="B101" s="3" t="s">
        <v>43</v>
      </c>
      <c r="C101" s="3" t="s">
        <v>10</v>
      </c>
      <c r="D101" s="4">
        <v>5.8</v>
      </c>
      <c r="E101" s="4">
        <v>85.2</v>
      </c>
      <c r="F101" s="4">
        <v>10.89</v>
      </c>
      <c r="G101" s="4">
        <v>161.19999999999999</v>
      </c>
      <c r="H101" s="4">
        <v>254.1</v>
      </c>
      <c r="I101" s="4">
        <v>0.1</v>
      </c>
      <c r="J101" s="3">
        <v>6.1</v>
      </c>
      <c r="AQ101" s="69">
        <v>43818</v>
      </c>
      <c r="AR101" s="71" t="s">
        <v>41</v>
      </c>
      <c r="AS101" s="71" t="s">
        <v>124</v>
      </c>
      <c r="AT101" s="72">
        <v>0.60763888888888895</v>
      </c>
      <c r="AU101" s="72">
        <v>0.61736111111111114</v>
      </c>
      <c r="AV101" s="71" t="s">
        <v>130</v>
      </c>
      <c r="AW101" s="71" t="s">
        <v>126</v>
      </c>
      <c r="AX101" s="71" t="s">
        <v>127</v>
      </c>
      <c r="AY101" s="71">
        <v>90</v>
      </c>
      <c r="AZ101" s="68"/>
    </row>
    <row r="102" spans="1:52" x14ac:dyDescent="0.25">
      <c r="A102" s="8">
        <v>44894</v>
      </c>
      <c r="B102" s="3" t="s">
        <v>43</v>
      </c>
      <c r="C102" s="3" t="s">
        <v>10</v>
      </c>
      <c r="D102" s="4">
        <v>5.5</v>
      </c>
      <c r="E102" s="4">
        <v>105.3</v>
      </c>
      <c r="F102" s="4">
        <v>13.26</v>
      </c>
      <c r="G102" s="4">
        <v>156.80000000000001</v>
      </c>
      <c r="H102" s="4">
        <v>250.1</v>
      </c>
      <c r="I102" s="4">
        <v>0.1</v>
      </c>
      <c r="J102" s="3">
        <v>1.6</v>
      </c>
      <c r="AQ102" s="69">
        <v>43819</v>
      </c>
      <c r="AR102" s="71" t="s">
        <v>49</v>
      </c>
      <c r="AS102" s="71" t="s">
        <v>124</v>
      </c>
      <c r="AT102" s="72">
        <v>0.53819444444444442</v>
      </c>
      <c r="AU102" s="72">
        <v>0.56458333333333333</v>
      </c>
      <c r="AV102" s="71" t="s">
        <v>149</v>
      </c>
      <c r="AW102" s="71" t="s">
        <v>126</v>
      </c>
      <c r="AX102" s="71" t="s">
        <v>132</v>
      </c>
      <c r="AY102" s="71">
        <v>65</v>
      </c>
      <c r="AZ102" s="68"/>
    </row>
    <row r="103" spans="1:52" x14ac:dyDescent="0.25">
      <c r="A103" s="8">
        <v>44894</v>
      </c>
      <c r="B103" s="3" t="s">
        <v>43</v>
      </c>
      <c r="C103" s="3" t="s">
        <v>10</v>
      </c>
      <c r="D103" s="4"/>
      <c r="E103" s="4">
        <v>104.5</v>
      </c>
      <c r="F103" s="4">
        <v>13.17</v>
      </c>
      <c r="G103" s="4">
        <v>156.80000000000001</v>
      </c>
      <c r="H103" s="4">
        <v>250.2</v>
      </c>
      <c r="I103" s="4">
        <v>0.1</v>
      </c>
      <c r="J103" s="3">
        <v>1.6</v>
      </c>
      <c r="AQ103" s="69">
        <v>43819</v>
      </c>
      <c r="AR103" s="71" t="s">
        <v>162</v>
      </c>
      <c r="AS103" s="71" t="s">
        <v>124</v>
      </c>
      <c r="AT103" s="72">
        <v>0.56597222222222221</v>
      </c>
      <c r="AU103" s="72">
        <v>0.59722222222222221</v>
      </c>
      <c r="AV103" s="71" t="s">
        <v>149</v>
      </c>
      <c r="AW103" s="71" t="s">
        <v>138</v>
      </c>
      <c r="AX103" s="71" t="s">
        <v>132</v>
      </c>
      <c r="AY103" s="71">
        <v>65</v>
      </c>
      <c r="AZ103" s="68"/>
    </row>
    <row r="104" spans="1:52" x14ac:dyDescent="0.25">
      <c r="A104" s="8">
        <v>44902</v>
      </c>
      <c r="B104" s="3" t="s">
        <v>43</v>
      </c>
      <c r="C104" s="3" t="s">
        <v>10</v>
      </c>
      <c r="D104" s="4">
        <v>6.9</v>
      </c>
      <c r="E104" s="4">
        <v>98.2</v>
      </c>
      <c r="F104" s="4">
        <v>11.93</v>
      </c>
      <c r="G104" s="4">
        <v>157.9</v>
      </c>
      <c r="H104" s="4">
        <v>241.8</v>
      </c>
      <c r="I104" s="4">
        <v>0.1</v>
      </c>
      <c r="J104" s="3">
        <v>4.4000000000000004</v>
      </c>
      <c r="AQ104" s="69">
        <v>43829</v>
      </c>
      <c r="AR104" s="71" t="s">
        <v>49</v>
      </c>
      <c r="AS104" s="71" t="s">
        <v>124</v>
      </c>
      <c r="AT104" s="72">
        <v>0.45833333333333331</v>
      </c>
      <c r="AU104" s="72">
        <v>0.4777777777777778</v>
      </c>
      <c r="AV104" s="71" t="s">
        <v>160</v>
      </c>
      <c r="AW104" s="71" t="s">
        <v>126</v>
      </c>
      <c r="AX104" s="71" t="s">
        <v>133</v>
      </c>
      <c r="AY104" s="71">
        <v>95</v>
      </c>
      <c r="AZ104" s="68"/>
    </row>
    <row r="105" spans="1:52" x14ac:dyDescent="0.25">
      <c r="A105" s="8">
        <v>44902</v>
      </c>
      <c r="B105" s="3" t="s">
        <v>43</v>
      </c>
      <c r="C105" s="3" t="s">
        <v>10</v>
      </c>
      <c r="D105" s="4">
        <v>6.89</v>
      </c>
      <c r="E105" s="4">
        <v>97.9</v>
      </c>
      <c r="F105" s="4">
        <v>11.94</v>
      </c>
      <c r="G105" s="4">
        <v>157.9</v>
      </c>
      <c r="H105" s="4">
        <v>242.1</v>
      </c>
      <c r="I105" s="4">
        <v>0.1</v>
      </c>
      <c r="J105" s="3">
        <v>4.4000000000000004</v>
      </c>
      <c r="AQ105" s="69">
        <v>43829</v>
      </c>
      <c r="AR105" s="71" t="s">
        <v>162</v>
      </c>
      <c r="AS105" s="71" t="s">
        <v>124</v>
      </c>
      <c r="AT105" s="72">
        <v>0.47916666666666669</v>
      </c>
      <c r="AU105" s="72">
        <v>0.50277777777777777</v>
      </c>
      <c r="AV105" s="71" t="s">
        <v>160</v>
      </c>
      <c r="AW105" s="71" t="s">
        <v>126</v>
      </c>
      <c r="AX105" s="71" t="s">
        <v>133</v>
      </c>
      <c r="AY105" s="71">
        <v>95</v>
      </c>
      <c r="AZ105" s="68"/>
    </row>
    <row r="106" spans="1:52" x14ac:dyDescent="0.25">
      <c r="A106" s="8">
        <v>44908</v>
      </c>
      <c r="B106" s="3" t="s">
        <v>43</v>
      </c>
      <c r="C106" s="3" t="s">
        <v>16</v>
      </c>
      <c r="D106" s="4">
        <v>6.7</v>
      </c>
      <c r="E106" s="4">
        <v>95</v>
      </c>
      <c r="F106" s="4">
        <v>11.59</v>
      </c>
      <c r="G106" s="4">
        <v>147.5</v>
      </c>
      <c r="H106" s="4">
        <v>227.3</v>
      </c>
      <c r="I106" s="4">
        <v>0.1</v>
      </c>
      <c r="J106" s="3">
        <v>3.8</v>
      </c>
    </row>
    <row r="107" spans="1:52" x14ac:dyDescent="0.25">
      <c r="A107" s="8">
        <v>44908</v>
      </c>
      <c r="B107" s="3" t="s">
        <v>43</v>
      </c>
      <c r="C107" s="3" t="s">
        <v>16</v>
      </c>
      <c r="D107" s="4">
        <v>6.6</v>
      </c>
      <c r="E107" s="4">
        <v>94.2</v>
      </c>
      <c r="F107" s="4">
        <v>11.56</v>
      </c>
      <c r="G107" s="4">
        <v>147.5</v>
      </c>
      <c r="H107" s="4">
        <v>228.3</v>
      </c>
      <c r="I107" s="4">
        <v>0.1</v>
      </c>
      <c r="J107" s="3">
        <v>3.8</v>
      </c>
    </row>
    <row r="108" spans="1:52" x14ac:dyDescent="0.25">
      <c r="A108" s="8">
        <v>44818</v>
      </c>
      <c r="B108" s="3" t="s">
        <v>30</v>
      </c>
      <c r="C108" s="3" t="s">
        <v>29</v>
      </c>
      <c r="D108" s="4">
        <v>13.5</v>
      </c>
      <c r="E108" s="4">
        <v>81.5</v>
      </c>
      <c r="F108" s="4">
        <v>8.48</v>
      </c>
      <c r="G108" s="4">
        <v>166.7</v>
      </c>
      <c r="H108" s="4">
        <v>214</v>
      </c>
      <c r="I108" s="4">
        <v>0.1</v>
      </c>
      <c r="J108" s="3">
        <v>21.1</v>
      </c>
    </row>
    <row r="109" spans="1:52" x14ac:dyDescent="0.25">
      <c r="A109" s="8">
        <v>44818</v>
      </c>
      <c r="B109" s="3" t="s">
        <v>30</v>
      </c>
      <c r="C109" s="3" t="s">
        <v>29</v>
      </c>
      <c r="D109" s="4">
        <v>13.4</v>
      </c>
      <c r="E109" s="4">
        <v>81.099999999999994</v>
      </c>
      <c r="F109" s="4">
        <v>8.4600000000000009</v>
      </c>
      <c r="G109" s="4">
        <v>166.6</v>
      </c>
      <c r="H109" s="4">
        <v>214.2</v>
      </c>
      <c r="I109" s="4">
        <v>0.1</v>
      </c>
      <c r="J109" s="3">
        <v>21.1</v>
      </c>
    </row>
    <row r="110" spans="1:52" x14ac:dyDescent="0.25">
      <c r="A110" s="8">
        <v>44824</v>
      </c>
      <c r="B110" s="3" t="s">
        <v>30</v>
      </c>
      <c r="C110" s="3" t="s">
        <v>11</v>
      </c>
      <c r="D110" s="4">
        <v>11.5</v>
      </c>
      <c r="E110" s="4">
        <v>80.5</v>
      </c>
      <c r="F110" s="4">
        <v>8.6999999999999993</v>
      </c>
      <c r="G110" s="4">
        <v>93.8</v>
      </c>
      <c r="H110" s="4">
        <v>126.8</v>
      </c>
      <c r="I110" s="4">
        <v>0.1</v>
      </c>
      <c r="J110" s="3">
        <v>21.6</v>
      </c>
    </row>
    <row r="111" spans="1:52" x14ac:dyDescent="0.25">
      <c r="A111" s="8">
        <v>44824</v>
      </c>
      <c r="B111" s="3" t="s">
        <v>30</v>
      </c>
      <c r="C111" s="3" t="s">
        <v>11</v>
      </c>
      <c r="D111" s="4">
        <v>11.4</v>
      </c>
      <c r="E111" s="4">
        <v>79</v>
      </c>
      <c r="F111" s="4">
        <v>8.69</v>
      </c>
      <c r="G111" s="4">
        <v>96.2</v>
      </c>
      <c r="H111" s="4">
        <v>131.5</v>
      </c>
      <c r="I111" s="4">
        <v>0.1</v>
      </c>
      <c r="J111" s="3">
        <v>21.6</v>
      </c>
    </row>
    <row r="112" spans="1:52" x14ac:dyDescent="0.25">
      <c r="A112" s="10">
        <v>44831</v>
      </c>
      <c r="B112" s="3" t="s">
        <v>30</v>
      </c>
      <c r="C112" s="3" t="s">
        <v>23</v>
      </c>
      <c r="D112" s="3">
        <v>12.7</v>
      </c>
      <c r="E112" s="4">
        <v>83.3</v>
      </c>
      <c r="F112" s="4">
        <v>8.82</v>
      </c>
      <c r="G112" s="4">
        <v>6.8</v>
      </c>
      <c r="H112" s="4">
        <v>9</v>
      </c>
      <c r="I112" s="4">
        <v>0</v>
      </c>
      <c r="J112" s="3">
        <v>18.3</v>
      </c>
    </row>
    <row r="113" spans="1:10" x14ac:dyDescent="0.25">
      <c r="A113" s="10">
        <v>44831</v>
      </c>
      <c r="B113" s="3" t="s">
        <v>30</v>
      </c>
      <c r="C113" s="3" t="s">
        <v>23</v>
      </c>
      <c r="D113" s="4">
        <v>12.9</v>
      </c>
      <c r="E113" s="4">
        <v>82.5</v>
      </c>
      <c r="F113" s="4">
        <v>8.6199999999999992</v>
      </c>
      <c r="G113" s="4">
        <v>6.8</v>
      </c>
      <c r="H113" s="4">
        <v>8.9</v>
      </c>
      <c r="I113" s="4">
        <v>0</v>
      </c>
      <c r="J113" s="3">
        <v>18.3</v>
      </c>
    </row>
    <row r="114" spans="1:10" x14ac:dyDescent="0.25">
      <c r="A114" s="8">
        <v>44838</v>
      </c>
      <c r="B114" s="3" t="s">
        <v>30</v>
      </c>
      <c r="C114" s="3" t="s">
        <v>10</v>
      </c>
      <c r="D114" s="4">
        <v>13</v>
      </c>
      <c r="E114" s="4">
        <v>73.2</v>
      </c>
      <c r="F114" s="4">
        <v>7.7</v>
      </c>
      <c r="G114" s="4">
        <v>6.4</v>
      </c>
      <c r="H114" s="4">
        <v>8.1999999999999993</v>
      </c>
      <c r="I114" s="4">
        <v>0</v>
      </c>
      <c r="J114" s="3">
        <v>17.2</v>
      </c>
    </row>
    <row r="115" spans="1:10" x14ac:dyDescent="0.25">
      <c r="A115" s="8">
        <v>44838</v>
      </c>
      <c r="B115" s="3" t="s">
        <v>30</v>
      </c>
      <c r="C115" s="3" t="s">
        <v>10</v>
      </c>
      <c r="D115" s="4">
        <v>11.7</v>
      </c>
      <c r="E115" s="4">
        <v>77.2</v>
      </c>
      <c r="F115" s="4">
        <v>8.4</v>
      </c>
      <c r="G115" s="4">
        <v>8.6</v>
      </c>
      <c r="H115" s="4">
        <v>11</v>
      </c>
      <c r="I115" s="4">
        <v>0</v>
      </c>
      <c r="J115" s="3">
        <v>17.2</v>
      </c>
    </row>
    <row r="116" spans="1:10" x14ac:dyDescent="0.25">
      <c r="A116" s="8">
        <v>44854</v>
      </c>
      <c r="B116" s="3" t="s">
        <v>30</v>
      </c>
      <c r="C116" s="3" t="s">
        <v>10</v>
      </c>
      <c r="D116" s="4">
        <v>9.4</v>
      </c>
      <c r="E116" s="4">
        <v>81</v>
      </c>
      <c r="F116" s="4">
        <v>9.27</v>
      </c>
      <c r="G116" s="4">
        <v>149.6</v>
      </c>
      <c r="H116" s="4">
        <v>213.1</v>
      </c>
      <c r="I116" s="4">
        <v>0.1</v>
      </c>
      <c r="J116" s="3">
        <v>15.5</v>
      </c>
    </row>
    <row r="117" spans="1:10" x14ac:dyDescent="0.25">
      <c r="A117" s="8">
        <v>44854</v>
      </c>
      <c r="B117" s="3" t="s">
        <v>30</v>
      </c>
      <c r="C117" s="3" t="s">
        <v>10</v>
      </c>
      <c r="D117" s="4">
        <v>9.4</v>
      </c>
      <c r="E117" s="4">
        <v>80.7</v>
      </c>
      <c r="F117" s="4">
        <v>9.24</v>
      </c>
      <c r="G117" s="4">
        <v>149.5</v>
      </c>
      <c r="H117" s="4">
        <v>213.2</v>
      </c>
      <c r="I117" s="4">
        <v>0.1</v>
      </c>
      <c r="J117" s="3">
        <v>15.5</v>
      </c>
    </row>
    <row r="118" spans="1:10" x14ac:dyDescent="0.25">
      <c r="A118" s="8">
        <v>44859</v>
      </c>
      <c r="B118" s="3" t="s">
        <v>30</v>
      </c>
      <c r="C118" s="3" t="s">
        <v>14</v>
      </c>
      <c r="D118" s="4">
        <v>8.6999999999999993</v>
      </c>
      <c r="E118" s="4">
        <v>79.3</v>
      </c>
      <c r="F118" s="4">
        <v>9.1999999999999993</v>
      </c>
      <c r="G118" s="4">
        <v>77.900000000000006</v>
      </c>
      <c r="H118" s="4">
        <v>112.2</v>
      </c>
      <c r="I118" s="4">
        <v>0.1</v>
      </c>
      <c r="J118" s="3">
        <v>11.1</v>
      </c>
    </row>
    <row r="119" spans="1:10" x14ac:dyDescent="0.25">
      <c r="A119" s="9">
        <v>44859</v>
      </c>
      <c r="B119" s="3" t="s">
        <v>30</v>
      </c>
      <c r="C119" s="3" t="s">
        <v>14</v>
      </c>
      <c r="D119" s="4">
        <v>8.6999999999999993</v>
      </c>
      <c r="E119" s="4">
        <v>78.900000000000006</v>
      </c>
      <c r="F119" s="4">
        <v>9.17</v>
      </c>
      <c r="G119" s="4">
        <v>72.400000000000006</v>
      </c>
      <c r="H119" s="4">
        <v>105</v>
      </c>
      <c r="I119" s="4">
        <v>0.1</v>
      </c>
      <c r="J119" s="3">
        <v>11.1</v>
      </c>
    </row>
    <row r="120" spans="1:10" x14ac:dyDescent="0.25">
      <c r="A120" s="8">
        <v>44866</v>
      </c>
      <c r="B120" s="3" t="s">
        <v>30</v>
      </c>
      <c r="C120" s="3" t="s">
        <v>10</v>
      </c>
      <c r="D120" s="4">
        <v>9.5</v>
      </c>
      <c r="E120" s="4">
        <v>72.5</v>
      </c>
      <c r="F120" s="4">
        <v>8.26</v>
      </c>
      <c r="G120" s="4">
        <v>143.69999999999999</v>
      </c>
      <c r="H120" s="4">
        <v>204.3</v>
      </c>
      <c r="I120" s="4">
        <v>0.1</v>
      </c>
      <c r="J120" s="3">
        <v>12.7</v>
      </c>
    </row>
    <row r="121" spans="1:10" x14ac:dyDescent="0.25">
      <c r="A121" s="8">
        <v>44866</v>
      </c>
      <c r="B121" s="3" t="s">
        <v>30</v>
      </c>
      <c r="C121" s="3" t="s">
        <v>10</v>
      </c>
      <c r="D121" s="4">
        <v>9.5</v>
      </c>
      <c r="E121" s="4">
        <v>71</v>
      </c>
      <c r="F121" s="4">
        <v>8.09</v>
      </c>
      <c r="G121" s="4">
        <v>143.69999999999999</v>
      </c>
      <c r="H121" s="4">
        <v>204.4</v>
      </c>
      <c r="I121" s="4">
        <v>0.1</v>
      </c>
      <c r="J121" s="3">
        <v>12.7</v>
      </c>
    </row>
    <row r="122" spans="1:10" x14ac:dyDescent="0.25">
      <c r="A122" s="8">
        <v>44882</v>
      </c>
      <c r="B122" s="3" t="s">
        <v>30</v>
      </c>
      <c r="C122" s="3" t="s">
        <v>10</v>
      </c>
      <c r="D122" s="4">
        <v>3.8</v>
      </c>
      <c r="E122" s="4">
        <v>90.8</v>
      </c>
      <c r="F122" s="4">
        <v>11.94</v>
      </c>
      <c r="G122" s="4">
        <v>121.7</v>
      </c>
      <c r="H122" s="4">
        <v>205.5</v>
      </c>
      <c r="I122" s="4">
        <v>0.1</v>
      </c>
      <c r="J122" s="3">
        <v>6.6</v>
      </c>
    </row>
    <row r="123" spans="1:10" x14ac:dyDescent="0.25">
      <c r="A123" s="8">
        <v>44882</v>
      </c>
      <c r="B123" s="3" t="s">
        <v>30</v>
      </c>
      <c r="C123" s="3" t="s">
        <v>10</v>
      </c>
      <c r="D123" s="4"/>
      <c r="E123" s="4">
        <v>89.5</v>
      </c>
      <c r="F123" s="4">
        <v>11.83</v>
      </c>
      <c r="G123" s="4">
        <v>121.7</v>
      </c>
      <c r="H123" s="4">
        <v>206.1</v>
      </c>
      <c r="I123" s="4">
        <v>0.1</v>
      </c>
      <c r="J123" s="3">
        <v>6.6</v>
      </c>
    </row>
    <row r="124" spans="1:10" x14ac:dyDescent="0.25">
      <c r="A124" s="8">
        <v>44903</v>
      </c>
      <c r="B124" s="3" t="s">
        <v>30</v>
      </c>
      <c r="C124" s="3" t="s">
        <v>15</v>
      </c>
      <c r="D124" s="4">
        <v>4.5</v>
      </c>
      <c r="E124" s="4">
        <v>83.3</v>
      </c>
      <c r="F124" s="4">
        <v>10.75</v>
      </c>
      <c r="G124" s="4">
        <v>97.3</v>
      </c>
      <c r="H124" s="4">
        <v>159.80000000000001</v>
      </c>
      <c r="I124" s="4">
        <v>0.1</v>
      </c>
      <c r="J124" s="3">
        <v>6.6</v>
      </c>
    </row>
    <row r="125" spans="1:10" x14ac:dyDescent="0.25">
      <c r="A125" s="8">
        <v>44903</v>
      </c>
      <c r="B125" s="3" t="s">
        <v>30</v>
      </c>
      <c r="C125" s="3" t="s">
        <v>15</v>
      </c>
      <c r="D125" s="4">
        <v>4.5</v>
      </c>
      <c r="E125" s="4">
        <v>80</v>
      </c>
      <c r="F125" s="4">
        <v>10.210000000000001</v>
      </c>
      <c r="G125" s="4">
        <v>97.3</v>
      </c>
      <c r="H125" s="4">
        <v>159.9</v>
      </c>
      <c r="I125" s="4">
        <v>0.1</v>
      </c>
      <c r="J125" s="3">
        <v>6.6</v>
      </c>
    </row>
    <row r="126" spans="1:10" x14ac:dyDescent="0.25">
      <c r="A126" s="8">
        <v>44909</v>
      </c>
      <c r="B126" s="3" t="s">
        <v>30</v>
      </c>
      <c r="C126" s="3" t="s">
        <v>15</v>
      </c>
      <c r="D126" s="4">
        <v>5.8</v>
      </c>
      <c r="E126" s="4">
        <v>80.099999999999994</v>
      </c>
      <c r="F126" s="4">
        <v>9.8000000000000007</v>
      </c>
      <c r="G126" s="4">
        <v>95.9</v>
      </c>
      <c r="H126" s="4">
        <v>151.69999999999999</v>
      </c>
      <c r="I126" s="4">
        <v>0.1</v>
      </c>
      <c r="J126" s="3">
        <v>3.8</v>
      </c>
    </row>
    <row r="127" spans="1:10" x14ac:dyDescent="0.25">
      <c r="A127" s="8">
        <v>44909</v>
      </c>
      <c r="B127" s="3" t="s">
        <v>30</v>
      </c>
      <c r="C127" s="3" t="s">
        <v>15</v>
      </c>
      <c r="D127" s="4">
        <v>5.6</v>
      </c>
      <c r="E127" s="4">
        <v>77.7</v>
      </c>
      <c r="F127" s="4">
        <v>9.7899999999999991</v>
      </c>
      <c r="G127" s="4">
        <v>95</v>
      </c>
      <c r="H127" s="4">
        <v>151.30000000000001</v>
      </c>
      <c r="I127" s="4">
        <v>0.1</v>
      </c>
      <c r="J127" s="3">
        <v>3.8</v>
      </c>
    </row>
    <row r="128" spans="1:10" x14ac:dyDescent="0.25">
      <c r="A128" s="8">
        <v>44931</v>
      </c>
      <c r="B128" s="3" t="s">
        <v>45</v>
      </c>
      <c r="C128" s="3" t="s">
        <v>24</v>
      </c>
      <c r="D128" s="4">
        <v>6.4</v>
      </c>
      <c r="E128" s="4">
        <v>68.099999999999994</v>
      </c>
      <c r="F128" s="4">
        <v>8.1999999999999993</v>
      </c>
      <c r="G128" s="4">
        <v>4200</v>
      </c>
      <c r="H128" s="4" t="s">
        <v>31</v>
      </c>
      <c r="I128" s="4">
        <v>3.6</v>
      </c>
      <c r="J128" s="3">
        <v>10.5</v>
      </c>
    </row>
    <row r="129" spans="1:10" x14ac:dyDescent="0.25">
      <c r="A129" s="8">
        <v>44931</v>
      </c>
      <c r="B129" s="3" t="s">
        <v>45</v>
      </c>
      <c r="C129" s="3" t="s">
        <v>24</v>
      </c>
      <c r="D129" s="4">
        <v>6.3</v>
      </c>
      <c r="E129" s="4">
        <v>63.8</v>
      </c>
      <c r="F129" s="4">
        <v>7.3</v>
      </c>
      <c r="G129" s="4">
        <v>4200</v>
      </c>
      <c r="H129" s="4" t="s">
        <v>31</v>
      </c>
      <c r="I129" s="4">
        <v>3.5</v>
      </c>
      <c r="J129" s="3">
        <v>10.5</v>
      </c>
    </row>
    <row r="130" spans="1:10" x14ac:dyDescent="0.25">
      <c r="A130" s="8">
        <v>44816</v>
      </c>
      <c r="B130" s="3" t="s">
        <v>44</v>
      </c>
      <c r="C130" s="3" t="s">
        <v>11</v>
      </c>
      <c r="D130" s="4">
        <v>13.1</v>
      </c>
      <c r="E130" s="4">
        <v>77.2</v>
      </c>
      <c r="F130" s="4">
        <v>8.08</v>
      </c>
      <c r="G130" s="4">
        <v>209.7</v>
      </c>
      <c r="H130" s="4">
        <v>271.3</v>
      </c>
      <c r="I130" s="4">
        <v>0.1</v>
      </c>
      <c r="J130" s="3">
        <v>20</v>
      </c>
    </row>
    <row r="131" spans="1:10" x14ac:dyDescent="0.25">
      <c r="A131" s="8">
        <v>44816</v>
      </c>
      <c r="B131" s="3" t="s">
        <v>44</v>
      </c>
      <c r="C131" s="3" t="s">
        <v>11</v>
      </c>
      <c r="D131" s="4">
        <v>13.1</v>
      </c>
      <c r="E131" s="4">
        <v>76.400000000000006</v>
      </c>
      <c r="F131" s="4">
        <v>8.0399999999999991</v>
      </c>
      <c r="G131" s="4">
        <v>210.6</v>
      </c>
      <c r="H131" s="4">
        <v>272.2</v>
      </c>
      <c r="I131" s="4">
        <v>0.1</v>
      </c>
      <c r="J131" s="3">
        <v>20</v>
      </c>
    </row>
    <row r="132" spans="1:10" x14ac:dyDescent="0.25">
      <c r="A132" s="8">
        <v>44826</v>
      </c>
      <c r="B132" s="3" t="s">
        <v>44</v>
      </c>
      <c r="C132" s="3" t="s">
        <v>12</v>
      </c>
      <c r="D132" s="4">
        <v>11.9</v>
      </c>
      <c r="E132" s="4">
        <v>48.8</v>
      </c>
      <c r="F132" s="4">
        <v>5.14</v>
      </c>
      <c r="G132" s="4">
        <v>205.7</v>
      </c>
      <c r="H132" s="4">
        <v>274.5</v>
      </c>
      <c r="I132" s="4">
        <v>0.1</v>
      </c>
      <c r="J132" s="3">
        <v>18.7</v>
      </c>
    </row>
    <row r="133" spans="1:10" x14ac:dyDescent="0.25">
      <c r="A133" s="8">
        <v>44826</v>
      </c>
      <c r="B133" s="3" t="s">
        <v>44</v>
      </c>
      <c r="C133" s="3" t="s">
        <v>12</v>
      </c>
      <c r="D133" s="4">
        <v>11.9</v>
      </c>
      <c r="E133" s="4">
        <v>48.1</v>
      </c>
      <c r="F133" s="4">
        <v>4.78</v>
      </c>
      <c r="G133" s="4">
        <v>205.5</v>
      </c>
      <c r="H133" s="4">
        <v>274.5</v>
      </c>
      <c r="I133" s="4">
        <v>0.1</v>
      </c>
      <c r="J133" s="3">
        <v>18.7</v>
      </c>
    </row>
    <row r="134" spans="1:10" x14ac:dyDescent="0.25">
      <c r="A134" s="8">
        <v>44833</v>
      </c>
      <c r="B134" s="3" t="s">
        <v>44</v>
      </c>
      <c r="C134" s="3" t="s">
        <v>10</v>
      </c>
      <c r="D134" s="4">
        <v>12</v>
      </c>
      <c r="E134" s="4">
        <v>51.6</v>
      </c>
      <c r="F134" s="4">
        <v>5.5</v>
      </c>
      <c r="G134" s="4">
        <v>208.9</v>
      </c>
      <c r="H134" s="4">
        <v>278.2</v>
      </c>
      <c r="I134" s="4">
        <v>0.1</v>
      </c>
      <c r="J134" s="3">
        <v>16.100000000000001</v>
      </c>
    </row>
    <row r="135" spans="1:10" x14ac:dyDescent="0.25">
      <c r="A135" s="8">
        <v>44833</v>
      </c>
      <c r="B135" s="3" t="s">
        <v>44</v>
      </c>
      <c r="C135" s="3" t="s">
        <v>10</v>
      </c>
      <c r="D135" s="4">
        <v>12</v>
      </c>
      <c r="E135" s="4">
        <v>51.6</v>
      </c>
      <c r="F135" s="4">
        <v>7.1</v>
      </c>
      <c r="G135" s="4">
        <v>204.6</v>
      </c>
      <c r="H135" s="4">
        <v>274.60000000000002</v>
      </c>
      <c r="I135" s="4">
        <v>0.1</v>
      </c>
      <c r="J135" s="3">
        <v>16.100000000000001</v>
      </c>
    </row>
    <row r="136" spans="1:10" x14ac:dyDescent="0.25">
      <c r="A136" s="8">
        <v>44840</v>
      </c>
      <c r="B136" s="3" t="s">
        <v>44</v>
      </c>
      <c r="C136" s="3" t="s">
        <v>10</v>
      </c>
      <c r="D136" s="4"/>
      <c r="E136" s="4">
        <v>77.099999999999994</v>
      </c>
      <c r="F136" s="4">
        <v>8.4</v>
      </c>
      <c r="G136" s="4">
        <v>200.6</v>
      </c>
      <c r="H136" s="4">
        <v>271.2</v>
      </c>
      <c r="I136" s="4">
        <v>0.1</v>
      </c>
      <c r="J136" s="3">
        <v>13.8</v>
      </c>
    </row>
    <row r="137" spans="1:10" x14ac:dyDescent="0.25">
      <c r="A137" s="8">
        <v>44840</v>
      </c>
      <c r="B137" s="3" t="s">
        <v>44</v>
      </c>
      <c r="C137" s="3" t="s">
        <v>10</v>
      </c>
      <c r="D137" s="4">
        <v>11.4</v>
      </c>
      <c r="E137" s="4">
        <v>76.900000000000006</v>
      </c>
      <c r="F137" s="4">
        <v>8.4</v>
      </c>
      <c r="G137" s="4">
        <v>200.3</v>
      </c>
      <c r="H137" s="4">
        <v>271.3</v>
      </c>
      <c r="I137" s="4">
        <v>0.1</v>
      </c>
      <c r="J137" s="3">
        <v>13.8</v>
      </c>
    </row>
    <row r="138" spans="1:10" x14ac:dyDescent="0.25">
      <c r="A138" s="8">
        <v>44845</v>
      </c>
      <c r="B138" s="3" t="s">
        <v>44</v>
      </c>
      <c r="C138" s="3" t="s">
        <v>10</v>
      </c>
      <c r="D138" s="4">
        <v>10.3</v>
      </c>
      <c r="E138" s="4">
        <v>77.3</v>
      </c>
      <c r="F138" s="4">
        <v>8.65</v>
      </c>
      <c r="G138" s="4">
        <v>177.3</v>
      </c>
      <c r="H138" s="4">
        <v>246.9</v>
      </c>
      <c r="I138" s="4">
        <v>0.1</v>
      </c>
      <c r="J138" s="3">
        <v>15.5</v>
      </c>
    </row>
    <row r="139" spans="1:10" x14ac:dyDescent="0.25">
      <c r="A139" s="8">
        <v>44854</v>
      </c>
      <c r="B139" s="3" t="s">
        <v>44</v>
      </c>
      <c r="C139" s="3" t="s">
        <v>10</v>
      </c>
      <c r="D139" s="4">
        <v>10.199999999999999</v>
      </c>
      <c r="E139" s="4">
        <v>77.3</v>
      </c>
      <c r="F139" s="4">
        <v>8.68</v>
      </c>
      <c r="G139" s="4">
        <v>195.6</v>
      </c>
      <c r="H139" s="4">
        <v>272.39999999999998</v>
      </c>
      <c r="I139" s="4">
        <v>0.1</v>
      </c>
      <c r="J139" s="3">
        <v>15.5</v>
      </c>
    </row>
    <row r="140" spans="1:10" x14ac:dyDescent="0.25">
      <c r="A140" s="8">
        <v>44854</v>
      </c>
      <c r="B140" s="3" t="s">
        <v>44</v>
      </c>
      <c r="C140" s="3" t="s">
        <v>10</v>
      </c>
      <c r="D140" s="4">
        <v>10</v>
      </c>
      <c r="E140" s="4">
        <v>76.599999999999994</v>
      </c>
      <c r="F140" s="4">
        <v>8.61</v>
      </c>
      <c r="G140" s="4">
        <v>195</v>
      </c>
      <c r="H140" s="4">
        <v>273</v>
      </c>
      <c r="I140" s="4">
        <v>0.1</v>
      </c>
      <c r="J140" s="3">
        <v>15.5</v>
      </c>
    </row>
    <row r="141" spans="1:10" x14ac:dyDescent="0.25">
      <c r="A141" s="8">
        <v>44873</v>
      </c>
      <c r="B141" s="3" t="s">
        <v>44</v>
      </c>
      <c r="C141" s="3" t="s">
        <v>10</v>
      </c>
      <c r="D141" s="4">
        <v>6.1</v>
      </c>
      <c r="E141" s="4">
        <v>82</v>
      </c>
      <c r="F141" s="3">
        <v>10.15</v>
      </c>
      <c r="G141" s="4">
        <v>115.3</v>
      </c>
      <c r="H141" s="4">
        <v>181.3</v>
      </c>
      <c r="I141" s="4">
        <v>0.1</v>
      </c>
      <c r="J141" s="3">
        <v>8.3000000000000007</v>
      </c>
    </row>
    <row r="142" spans="1:10" x14ac:dyDescent="0.25">
      <c r="A142" s="8">
        <v>44873</v>
      </c>
      <c r="B142" s="3" t="s">
        <v>44</v>
      </c>
      <c r="C142" s="3" t="s">
        <v>10</v>
      </c>
      <c r="D142" s="4">
        <v>6</v>
      </c>
      <c r="E142" s="4">
        <v>82.2</v>
      </c>
      <c r="F142" s="3">
        <v>10.28</v>
      </c>
      <c r="G142" s="4">
        <v>115.2</v>
      </c>
      <c r="H142" s="4">
        <v>180.5</v>
      </c>
      <c r="I142" s="4">
        <v>0.1</v>
      </c>
      <c r="J142" s="3">
        <v>8.3000000000000007</v>
      </c>
    </row>
    <row r="143" spans="1:10" x14ac:dyDescent="0.25">
      <c r="A143" s="8">
        <v>44883</v>
      </c>
      <c r="B143" s="3" t="s">
        <v>44</v>
      </c>
      <c r="C143" s="3" t="s">
        <v>10</v>
      </c>
      <c r="D143" s="4">
        <v>4.4000000000000004</v>
      </c>
      <c r="E143" s="4">
        <v>52.5</v>
      </c>
      <c r="F143" s="4">
        <v>6.63</v>
      </c>
      <c r="G143" s="4">
        <v>124.3</v>
      </c>
      <c r="H143" s="4">
        <v>204.9</v>
      </c>
      <c r="I143" s="4">
        <v>0.1</v>
      </c>
      <c r="J143" s="3">
        <v>6.1</v>
      </c>
    </row>
    <row r="144" spans="1:10" x14ac:dyDescent="0.25">
      <c r="A144" s="8">
        <v>44883</v>
      </c>
      <c r="B144" s="3" t="s">
        <v>44</v>
      </c>
      <c r="C144" s="3" t="s">
        <v>10</v>
      </c>
      <c r="D144" s="4">
        <v>4.4000000000000004</v>
      </c>
      <c r="E144" s="4">
        <v>49.5</v>
      </c>
      <c r="F144" s="4">
        <v>6.36</v>
      </c>
      <c r="G144" s="4">
        <v>124.3</v>
      </c>
      <c r="H144" s="4">
        <v>204.8</v>
      </c>
      <c r="I144" s="4">
        <v>0.1</v>
      </c>
      <c r="J144" s="3">
        <v>6.1</v>
      </c>
    </row>
    <row r="145" spans="1:10" x14ac:dyDescent="0.25">
      <c r="A145" s="8">
        <v>44894</v>
      </c>
      <c r="B145" s="3" t="s">
        <v>44</v>
      </c>
      <c r="C145" s="3" t="s">
        <v>10</v>
      </c>
      <c r="D145" s="4">
        <v>4</v>
      </c>
      <c r="E145" s="4">
        <v>73</v>
      </c>
      <c r="F145" s="4">
        <v>9.5</v>
      </c>
      <c r="G145" s="4">
        <v>111.5</v>
      </c>
      <c r="H145" s="4">
        <v>186</v>
      </c>
      <c r="I145" s="4">
        <v>0.1</v>
      </c>
      <c r="J145" s="3">
        <v>1.6</v>
      </c>
    </row>
    <row r="146" spans="1:10" x14ac:dyDescent="0.25">
      <c r="A146" s="8">
        <v>44894</v>
      </c>
      <c r="B146" s="3" t="s">
        <v>44</v>
      </c>
      <c r="C146" s="3" t="s">
        <v>10</v>
      </c>
      <c r="D146" s="4">
        <v>4</v>
      </c>
      <c r="E146" s="4">
        <v>72.7</v>
      </c>
      <c r="F146" s="4">
        <v>9.5</v>
      </c>
      <c r="G146" s="4">
        <v>111.3</v>
      </c>
      <c r="H146" s="4">
        <v>186.1</v>
      </c>
      <c r="I146" s="4">
        <v>0.1</v>
      </c>
      <c r="J146" s="3">
        <v>1.6</v>
      </c>
    </row>
    <row r="147" spans="1:10" x14ac:dyDescent="0.25">
      <c r="A147" s="8">
        <v>44902</v>
      </c>
      <c r="B147" s="3" t="s">
        <v>44</v>
      </c>
      <c r="C147" s="3" t="s">
        <v>10</v>
      </c>
      <c r="D147" s="4">
        <v>5</v>
      </c>
      <c r="E147" s="4">
        <v>95</v>
      </c>
      <c r="F147" s="4">
        <v>12.17</v>
      </c>
      <c r="G147" s="4">
        <v>58.6</v>
      </c>
      <c r="H147" s="4">
        <v>94.8</v>
      </c>
      <c r="I147" s="4">
        <v>0</v>
      </c>
      <c r="J147" s="3">
        <v>4.4000000000000004</v>
      </c>
    </row>
    <row r="148" spans="1:10" x14ac:dyDescent="0.25">
      <c r="A148" s="8">
        <v>44902</v>
      </c>
      <c r="B148" s="3" t="s">
        <v>44</v>
      </c>
      <c r="C148" s="3" t="s">
        <v>10</v>
      </c>
      <c r="D148" s="4">
        <v>4.8</v>
      </c>
      <c r="E148" s="4">
        <v>95</v>
      </c>
      <c r="F148" s="4">
        <v>12.19</v>
      </c>
      <c r="G148" s="4">
        <v>58</v>
      </c>
      <c r="H148" s="4">
        <v>57.8</v>
      </c>
      <c r="I148" s="4">
        <v>0</v>
      </c>
      <c r="J148" s="3">
        <v>4.4000000000000004</v>
      </c>
    </row>
    <row r="149" spans="1:10" x14ac:dyDescent="0.25">
      <c r="A149" s="8">
        <v>44908</v>
      </c>
      <c r="B149" s="3" t="s">
        <v>44</v>
      </c>
      <c r="C149" s="3" t="s">
        <v>16</v>
      </c>
      <c r="D149" s="4">
        <v>4.5</v>
      </c>
      <c r="E149" s="4">
        <v>86.6</v>
      </c>
      <c r="F149" s="4">
        <v>11.35</v>
      </c>
      <c r="G149" s="4">
        <v>83.9</v>
      </c>
      <c r="H149" s="4">
        <v>138.1</v>
      </c>
      <c r="I149" s="4">
        <v>0.1</v>
      </c>
      <c r="J149" s="3">
        <v>3.8</v>
      </c>
    </row>
    <row r="150" spans="1:10" x14ac:dyDescent="0.25">
      <c r="A150" s="8">
        <v>44908</v>
      </c>
      <c r="B150" s="3" t="s">
        <v>44</v>
      </c>
      <c r="C150" s="3" t="s">
        <v>16</v>
      </c>
      <c r="D150" s="4">
        <v>4.5</v>
      </c>
      <c r="E150" s="4">
        <v>86.6</v>
      </c>
      <c r="F150" s="4">
        <v>11.27</v>
      </c>
      <c r="G150" s="4">
        <v>83.9</v>
      </c>
      <c r="H150" s="4">
        <v>138.19999999999999</v>
      </c>
      <c r="I150" s="4">
        <v>0.1</v>
      </c>
      <c r="J150" s="3">
        <v>3.8</v>
      </c>
    </row>
    <row r="151" spans="1:10" x14ac:dyDescent="0.25">
      <c r="A151" s="8">
        <v>44845</v>
      </c>
      <c r="B151" s="3" t="s">
        <v>44</v>
      </c>
      <c r="C151" s="3" t="s">
        <v>10</v>
      </c>
      <c r="D151" s="4">
        <v>10.3</v>
      </c>
      <c r="E151" s="4">
        <v>76.900000000000006</v>
      </c>
      <c r="F151" s="4">
        <v>8.52</v>
      </c>
      <c r="G151" s="4">
        <v>193.9</v>
      </c>
      <c r="H151" s="4">
        <v>270</v>
      </c>
      <c r="I151" s="4">
        <v>0.1</v>
      </c>
      <c r="J151" s="3">
        <v>15.5</v>
      </c>
    </row>
    <row r="152" spans="1:10" x14ac:dyDescent="0.25">
      <c r="A152" s="8">
        <v>44819</v>
      </c>
      <c r="B152" s="3" t="s">
        <v>34</v>
      </c>
      <c r="C152" s="3" t="s">
        <v>11</v>
      </c>
      <c r="D152" s="3">
        <v>10.9</v>
      </c>
      <c r="E152" s="4">
        <v>95.1</v>
      </c>
      <c r="F152" s="4">
        <v>10.49</v>
      </c>
      <c r="G152" s="4">
        <v>66.599999999999994</v>
      </c>
      <c r="H152" s="4">
        <v>91.5</v>
      </c>
      <c r="I152" s="4">
        <v>0</v>
      </c>
      <c r="J152" s="3">
        <v>18.8</v>
      </c>
    </row>
    <row r="153" spans="1:10" x14ac:dyDescent="0.25">
      <c r="A153" s="8">
        <v>44819</v>
      </c>
      <c r="B153" s="3" t="s">
        <v>34</v>
      </c>
      <c r="C153" s="3" t="s">
        <v>11</v>
      </c>
      <c r="D153" s="3">
        <v>10.7</v>
      </c>
      <c r="E153" s="4">
        <v>93.8</v>
      </c>
      <c r="F153" s="4">
        <v>10.41</v>
      </c>
      <c r="G153" s="4">
        <v>66.599999999999994</v>
      </c>
      <c r="H153" s="4">
        <v>91.6</v>
      </c>
      <c r="I153" s="4">
        <v>0</v>
      </c>
      <c r="J153" s="3">
        <v>18.8</v>
      </c>
    </row>
    <row r="154" spans="1:10" x14ac:dyDescent="0.25">
      <c r="A154" s="8">
        <v>44827</v>
      </c>
      <c r="B154" s="3" t="s">
        <v>34</v>
      </c>
      <c r="C154" s="3" t="s">
        <v>33</v>
      </c>
      <c r="D154" s="4">
        <v>10.5</v>
      </c>
      <c r="E154" s="4">
        <v>100.2</v>
      </c>
      <c r="F154" s="4">
        <v>11.19</v>
      </c>
      <c r="G154" s="4">
        <v>38.1</v>
      </c>
      <c r="H154" s="4">
        <v>52.9</v>
      </c>
      <c r="I154" s="4">
        <v>0</v>
      </c>
      <c r="J154" s="3">
        <v>17.7</v>
      </c>
    </row>
    <row r="155" spans="1:10" x14ac:dyDescent="0.25">
      <c r="A155" s="8">
        <v>44827</v>
      </c>
      <c r="B155" s="3" t="s">
        <v>34</v>
      </c>
      <c r="C155" s="3" t="s">
        <v>33</v>
      </c>
      <c r="D155" s="4">
        <v>10.4</v>
      </c>
      <c r="E155" s="4">
        <v>100</v>
      </c>
      <c r="F155" s="4">
        <v>11.13</v>
      </c>
      <c r="G155" s="4">
        <v>40</v>
      </c>
      <c r="H155" s="4">
        <v>55.5</v>
      </c>
      <c r="I155" s="4">
        <v>0</v>
      </c>
      <c r="J155" s="3">
        <v>17.7</v>
      </c>
    </row>
    <row r="156" spans="1:10" x14ac:dyDescent="0.25">
      <c r="A156" s="8">
        <v>44848</v>
      </c>
      <c r="B156" s="3" t="s">
        <v>34</v>
      </c>
      <c r="C156" s="3" t="s">
        <v>11</v>
      </c>
      <c r="D156" s="4">
        <v>10.199999999999999</v>
      </c>
      <c r="E156" s="4">
        <v>102.7</v>
      </c>
      <c r="F156" s="4">
        <v>11.5</v>
      </c>
      <c r="G156" s="4">
        <v>65.7</v>
      </c>
      <c r="H156" s="4">
        <v>91.7</v>
      </c>
      <c r="I156" s="4">
        <v>0</v>
      </c>
      <c r="J156" s="3">
        <v>24.4</v>
      </c>
    </row>
    <row r="157" spans="1:10" x14ac:dyDescent="0.25">
      <c r="A157" s="8">
        <v>44848</v>
      </c>
      <c r="B157" s="3" t="s">
        <v>34</v>
      </c>
      <c r="C157" s="3" t="s">
        <v>11</v>
      </c>
      <c r="D157" s="4">
        <v>10.1</v>
      </c>
      <c r="E157" s="4">
        <v>102.7</v>
      </c>
      <c r="F157" s="4">
        <v>11.57</v>
      </c>
      <c r="G157" s="4">
        <v>65.7</v>
      </c>
      <c r="H157" s="4">
        <v>91.9</v>
      </c>
      <c r="I157" s="4">
        <v>0</v>
      </c>
      <c r="J157" s="3">
        <v>24.4</v>
      </c>
    </row>
    <row r="158" spans="1:10" x14ac:dyDescent="0.25">
      <c r="A158" s="8">
        <v>44855</v>
      </c>
      <c r="B158" s="3" t="s">
        <v>34</v>
      </c>
      <c r="C158" s="3" t="s">
        <v>10</v>
      </c>
      <c r="D158" s="4">
        <v>9.8000000000000007</v>
      </c>
      <c r="E158" s="4">
        <v>99.5</v>
      </c>
      <c r="F158" s="4">
        <v>11.27</v>
      </c>
      <c r="G158" s="4">
        <v>64</v>
      </c>
      <c r="H158" s="4">
        <v>90.3</v>
      </c>
      <c r="I158" s="4">
        <v>0.1</v>
      </c>
      <c r="J158" s="3">
        <v>13.8</v>
      </c>
    </row>
    <row r="159" spans="1:10" x14ac:dyDescent="0.25">
      <c r="A159" s="8">
        <v>44855</v>
      </c>
      <c r="B159" s="3" t="s">
        <v>34</v>
      </c>
      <c r="C159" s="3" t="s">
        <v>10</v>
      </c>
      <c r="D159" s="4">
        <v>9.6999999999999993</v>
      </c>
      <c r="E159" s="4">
        <v>99.3</v>
      </c>
      <c r="F159" s="4">
        <v>11.27</v>
      </c>
      <c r="G159" s="4">
        <v>64.099999999999994</v>
      </c>
      <c r="H159" s="4">
        <v>90.6</v>
      </c>
      <c r="I159" s="4">
        <v>0.1</v>
      </c>
      <c r="J159" s="3">
        <v>13.8</v>
      </c>
    </row>
    <row r="160" spans="1:10" x14ac:dyDescent="0.25">
      <c r="A160" s="8">
        <v>44862</v>
      </c>
      <c r="B160" s="3" t="s">
        <v>34</v>
      </c>
      <c r="C160" s="3" t="s">
        <v>14</v>
      </c>
      <c r="D160" s="4">
        <v>9.8000000000000007</v>
      </c>
      <c r="E160" s="4">
        <v>99.8</v>
      </c>
      <c r="F160" s="4">
        <v>11.32</v>
      </c>
      <c r="G160" s="4">
        <v>48.3</v>
      </c>
      <c r="H160" s="4">
        <v>68.400000000000006</v>
      </c>
      <c r="I160" s="4">
        <v>0.1</v>
      </c>
      <c r="J160" s="3">
        <v>11.1</v>
      </c>
    </row>
    <row r="161" spans="1:10" x14ac:dyDescent="0.25">
      <c r="A161" s="8">
        <v>44862</v>
      </c>
      <c r="B161" s="3" t="s">
        <v>34</v>
      </c>
      <c r="C161" s="3" t="s">
        <v>14</v>
      </c>
      <c r="D161" s="3">
        <v>9.6999999999999993</v>
      </c>
      <c r="E161" s="3">
        <v>99.6</v>
      </c>
      <c r="F161" s="3">
        <v>11.32</v>
      </c>
      <c r="G161" s="3">
        <v>48.3</v>
      </c>
      <c r="H161" s="3">
        <v>68.400000000000006</v>
      </c>
      <c r="I161" s="4">
        <v>0.1</v>
      </c>
      <c r="J161" s="3">
        <v>11.1</v>
      </c>
    </row>
    <row r="162" spans="1:10" x14ac:dyDescent="0.25">
      <c r="A162" s="8">
        <v>44874</v>
      </c>
      <c r="B162" s="3" t="s">
        <v>34</v>
      </c>
      <c r="C162" s="3" t="s">
        <v>19</v>
      </c>
      <c r="D162" s="4">
        <v>7.2</v>
      </c>
      <c r="E162" s="4">
        <v>91.3</v>
      </c>
      <c r="F162" s="4">
        <v>11.01</v>
      </c>
      <c r="G162" s="4">
        <v>59.9</v>
      </c>
      <c r="H162" s="4">
        <v>90.6</v>
      </c>
      <c r="I162" s="4">
        <v>0.1</v>
      </c>
      <c r="J162" s="3">
        <v>8.8000000000000007</v>
      </c>
    </row>
    <row r="163" spans="1:10" x14ac:dyDescent="0.25">
      <c r="A163" s="8">
        <v>44874</v>
      </c>
      <c r="B163" s="3" t="s">
        <v>34</v>
      </c>
      <c r="C163" s="3" t="s">
        <v>19</v>
      </c>
      <c r="D163" s="4">
        <v>7.2</v>
      </c>
      <c r="E163" s="4">
        <v>91.5</v>
      </c>
      <c r="F163" s="4">
        <v>11.04</v>
      </c>
      <c r="G163" s="4">
        <v>59.9</v>
      </c>
      <c r="H163" s="4">
        <v>90.6</v>
      </c>
      <c r="I163" s="4">
        <v>0.1</v>
      </c>
      <c r="J163" s="3">
        <v>8.8000000000000007</v>
      </c>
    </row>
    <row r="164" spans="1:10" x14ac:dyDescent="0.25">
      <c r="A164" s="8">
        <v>44886</v>
      </c>
      <c r="B164" s="3" t="s">
        <v>34</v>
      </c>
      <c r="C164" s="3" t="s">
        <v>20</v>
      </c>
      <c r="D164" s="4">
        <v>8.1999999999999993</v>
      </c>
      <c r="E164" s="4">
        <v>97.5</v>
      </c>
      <c r="F164" s="4">
        <v>11.51</v>
      </c>
      <c r="G164" s="4">
        <v>59.8</v>
      </c>
      <c r="H164" s="4">
        <v>88.3</v>
      </c>
      <c r="I164" s="4">
        <v>0</v>
      </c>
      <c r="J164" s="3">
        <v>6.6</v>
      </c>
    </row>
    <row r="165" spans="1:10" x14ac:dyDescent="0.25">
      <c r="A165" s="8">
        <v>44886</v>
      </c>
      <c r="B165" s="3" t="s">
        <v>34</v>
      </c>
      <c r="C165" s="3" t="s">
        <v>20</v>
      </c>
      <c r="D165" s="4">
        <v>8.1999999999999993</v>
      </c>
      <c r="E165" s="4">
        <v>97.4</v>
      </c>
      <c r="F165" s="4">
        <v>11.56</v>
      </c>
      <c r="G165" s="4">
        <v>59.8</v>
      </c>
      <c r="H165" s="4">
        <v>88.7</v>
      </c>
      <c r="I165" s="4">
        <v>0</v>
      </c>
      <c r="J165" s="3">
        <v>6.6</v>
      </c>
    </row>
    <row r="166" spans="1:10" x14ac:dyDescent="0.25">
      <c r="A166" s="8">
        <v>44904</v>
      </c>
      <c r="B166" s="3" t="s">
        <v>34</v>
      </c>
      <c r="C166" s="3" t="s">
        <v>21</v>
      </c>
      <c r="D166" s="4">
        <v>6.9</v>
      </c>
      <c r="E166" s="4">
        <v>92</v>
      </c>
      <c r="F166" s="4">
        <v>11.19</v>
      </c>
      <c r="G166" s="4">
        <v>56.3</v>
      </c>
      <c r="H166" s="4">
        <v>86.1</v>
      </c>
      <c r="I166" s="4">
        <v>0</v>
      </c>
      <c r="J166" s="3">
        <v>15</v>
      </c>
    </row>
    <row r="167" spans="1:10" x14ac:dyDescent="0.25">
      <c r="A167" s="8">
        <v>44904</v>
      </c>
      <c r="B167" s="3" t="s">
        <v>34</v>
      </c>
      <c r="C167" s="3" t="s">
        <v>21</v>
      </c>
      <c r="D167" s="4">
        <v>6.9</v>
      </c>
      <c r="E167" s="4">
        <v>91.6</v>
      </c>
      <c r="F167" s="4">
        <v>11.15</v>
      </c>
      <c r="G167" s="4">
        <v>56.2</v>
      </c>
      <c r="H167" s="4">
        <v>86.1</v>
      </c>
      <c r="I167" s="4">
        <v>0</v>
      </c>
      <c r="J167" s="3">
        <v>15</v>
      </c>
    </row>
    <row r="168" spans="1:10" x14ac:dyDescent="0.25">
      <c r="A168" s="8">
        <v>44930</v>
      </c>
      <c r="B168" s="3" t="s">
        <v>34</v>
      </c>
      <c r="C168" s="3" t="s">
        <v>11</v>
      </c>
      <c r="D168" s="4">
        <v>7.7</v>
      </c>
      <c r="E168" s="4">
        <v>101.2</v>
      </c>
      <c r="F168" s="4">
        <v>12.05</v>
      </c>
      <c r="G168" s="4">
        <v>57.2</v>
      </c>
      <c r="H168" s="4">
        <v>85.4</v>
      </c>
      <c r="I168" s="4">
        <v>0</v>
      </c>
      <c r="J168" s="3">
        <v>5</v>
      </c>
    </row>
    <row r="169" spans="1:10" x14ac:dyDescent="0.25">
      <c r="A169" s="8">
        <v>44930</v>
      </c>
      <c r="B169" s="3" t="s">
        <v>34</v>
      </c>
      <c r="C169" s="3" t="s">
        <v>11</v>
      </c>
      <c r="D169" s="4"/>
      <c r="E169" s="4">
        <v>100.8</v>
      </c>
      <c r="F169" s="4">
        <v>12.03</v>
      </c>
      <c r="G169" s="4">
        <v>57.4</v>
      </c>
      <c r="H169" s="4">
        <v>85.5</v>
      </c>
      <c r="I169" s="4">
        <v>0</v>
      </c>
      <c r="J169" s="3">
        <v>5</v>
      </c>
    </row>
    <row r="170" spans="1:10" x14ac:dyDescent="0.25">
      <c r="A170" s="8">
        <v>44930</v>
      </c>
      <c r="B170" s="3" t="s">
        <v>46</v>
      </c>
      <c r="C170" s="3" t="s">
        <v>11</v>
      </c>
      <c r="D170" s="4">
        <v>7.7</v>
      </c>
      <c r="E170" s="4">
        <v>96.3</v>
      </c>
      <c r="F170" s="4">
        <v>11.48</v>
      </c>
      <c r="G170" s="4">
        <v>57.3</v>
      </c>
      <c r="H170" s="4">
        <v>85.7</v>
      </c>
      <c r="I170" s="4">
        <v>0</v>
      </c>
      <c r="J170" s="3">
        <v>4.4000000000000004</v>
      </c>
    </row>
    <row r="171" spans="1:10" x14ac:dyDescent="0.25">
      <c r="A171" s="8">
        <v>44930</v>
      </c>
      <c r="B171" s="3" t="s">
        <v>46</v>
      </c>
      <c r="C171" s="3" t="s">
        <v>11</v>
      </c>
      <c r="D171" s="4">
        <v>7.7</v>
      </c>
      <c r="E171" s="4">
        <v>96.2</v>
      </c>
      <c r="F171" s="4">
        <v>11.47</v>
      </c>
      <c r="G171" s="4">
        <v>57.3</v>
      </c>
      <c r="H171" s="4">
        <v>85.7</v>
      </c>
      <c r="I171" s="4">
        <v>0</v>
      </c>
      <c r="J171" s="3">
        <v>4.4000000000000004</v>
      </c>
    </row>
    <row r="172" spans="1:10" x14ac:dyDescent="0.25">
      <c r="A172" s="8">
        <v>44911</v>
      </c>
      <c r="B172" s="3" t="s">
        <v>47</v>
      </c>
      <c r="C172" s="3" t="s">
        <v>22</v>
      </c>
      <c r="D172" s="4">
        <v>7.6</v>
      </c>
      <c r="E172" s="4">
        <v>97.2</v>
      </c>
      <c r="F172" s="4">
        <v>11.62</v>
      </c>
      <c r="G172" s="4">
        <v>59.8</v>
      </c>
      <c r="H172" s="4">
        <v>98.7</v>
      </c>
      <c r="I172" s="4">
        <v>0</v>
      </c>
      <c r="J172" s="3">
        <v>3.8</v>
      </c>
    </row>
    <row r="173" spans="1:10" x14ac:dyDescent="0.25">
      <c r="A173" s="8">
        <v>44911</v>
      </c>
      <c r="B173" s="3" t="s">
        <v>47</v>
      </c>
      <c r="C173" s="3" t="s">
        <v>22</v>
      </c>
      <c r="D173" s="4">
        <v>7.5</v>
      </c>
      <c r="E173" s="4">
        <v>96.5</v>
      </c>
      <c r="F173" s="4">
        <v>11.56</v>
      </c>
      <c r="G173" s="4">
        <v>89.8</v>
      </c>
      <c r="H173" s="4">
        <v>89.9</v>
      </c>
      <c r="I173" s="4">
        <v>0</v>
      </c>
      <c r="J173" s="3">
        <v>3.8</v>
      </c>
    </row>
    <row r="174" spans="1:10" x14ac:dyDescent="0.25">
      <c r="A174" s="8">
        <v>44911</v>
      </c>
      <c r="B174" s="3" t="s">
        <v>48</v>
      </c>
      <c r="C174" s="3" t="s">
        <v>22</v>
      </c>
      <c r="D174" s="4">
        <v>7.5</v>
      </c>
      <c r="E174" s="4">
        <v>84.4</v>
      </c>
      <c r="F174" s="4">
        <v>10.11</v>
      </c>
      <c r="G174" s="4">
        <v>59.8</v>
      </c>
      <c r="H174" s="4">
        <v>89.9</v>
      </c>
      <c r="I174" s="4">
        <v>0</v>
      </c>
      <c r="J174" s="3">
        <v>3.8</v>
      </c>
    </row>
    <row r="175" spans="1:10" x14ac:dyDescent="0.25">
      <c r="A175" s="8">
        <v>44911</v>
      </c>
      <c r="B175" s="3" t="s">
        <v>48</v>
      </c>
      <c r="C175" s="3" t="s">
        <v>22</v>
      </c>
      <c r="D175" s="4">
        <v>7.5</v>
      </c>
      <c r="E175" s="4">
        <v>84.2</v>
      </c>
      <c r="F175" s="4">
        <v>10.09</v>
      </c>
      <c r="G175" s="4">
        <v>59.8</v>
      </c>
      <c r="H175" s="4">
        <v>89.8</v>
      </c>
      <c r="I175" s="4">
        <v>0</v>
      </c>
      <c r="J175" s="3">
        <v>3.8</v>
      </c>
    </row>
    <row r="176" spans="1:10" x14ac:dyDescent="0.25">
      <c r="A176" s="8">
        <v>44866</v>
      </c>
      <c r="B176" s="3" t="s">
        <v>50</v>
      </c>
      <c r="C176" s="3" t="s">
        <v>10</v>
      </c>
      <c r="D176" s="4">
        <v>9.1</v>
      </c>
      <c r="E176" s="4">
        <v>92.5</v>
      </c>
      <c r="F176" s="4">
        <v>10.6</v>
      </c>
      <c r="G176" s="4">
        <v>78.599999999999994</v>
      </c>
      <c r="H176" s="4">
        <v>112.9</v>
      </c>
      <c r="I176" s="4">
        <v>0.1</v>
      </c>
      <c r="J176" s="3">
        <v>11.1</v>
      </c>
    </row>
    <row r="177" spans="1:10" x14ac:dyDescent="0.25">
      <c r="A177" s="8">
        <v>44824</v>
      </c>
      <c r="B177" s="3" t="s">
        <v>49</v>
      </c>
      <c r="C177" s="3" t="s">
        <v>11</v>
      </c>
      <c r="D177" s="4">
        <v>11.6</v>
      </c>
      <c r="E177" s="4">
        <v>105.3</v>
      </c>
      <c r="F177" s="4">
        <v>11.41</v>
      </c>
      <c r="G177" s="4">
        <v>96.3</v>
      </c>
      <c r="H177" s="4">
        <v>129.4</v>
      </c>
      <c r="I177" s="4">
        <v>0.1</v>
      </c>
      <c r="J177" s="3">
        <v>25</v>
      </c>
    </row>
    <row r="178" spans="1:10" x14ac:dyDescent="0.25">
      <c r="A178" s="8">
        <v>44824</v>
      </c>
      <c r="B178" s="3" t="s">
        <v>49</v>
      </c>
      <c r="C178" s="3" t="s">
        <v>11</v>
      </c>
      <c r="D178" s="4">
        <v>11.6</v>
      </c>
      <c r="E178" s="4">
        <v>102.1</v>
      </c>
      <c r="F178" s="4">
        <v>11.5</v>
      </c>
      <c r="G178" s="4">
        <v>94.8</v>
      </c>
      <c r="H178" s="4">
        <v>128</v>
      </c>
      <c r="I178" s="4">
        <v>0.1</v>
      </c>
      <c r="J178" s="3">
        <v>25</v>
      </c>
    </row>
    <row r="179" spans="1:10" x14ac:dyDescent="0.25">
      <c r="A179" s="8">
        <v>44901</v>
      </c>
      <c r="B179" s="3" t="s">
        <v>49</v>
      </c>
      <c r="C179" s="3" t="s">
        <v>10</v>
      </c>
      <c r="D179" s="4">
        <v>5.2</v>
      </c>
      <c r="E179" s="4">
        <v>93.1</v>
      </c>
      <c r="F179" s="4">
        <v>11.82</v>
      </c>
      <c r="G179" s="4">
        <v>78</v>
      </c>
      <c r="H179" s="4">
        <v>125.6</v>
      </c>
      <c r="I179" s="4">
        <v>0.1</v>
      </c>
      <c r="J179" s="3">
        <v>4.4000000000000004</v>
      </c>
    </row>
    <row r="180" spans="1:10" x14ac:dyDescent="0.25">
      <c r="A180" s="8">
        <v>44901</v>
      </c>
      <c r="B180" s="3" t="s">
        <v>49</v>
      </c>
      <c r="C180" s="3" t="s">
        <v>10</v>
      </c>
      <c r="D180" s="4"/>
      <c r="E180" s="4">
        <v>92.9</v>
      </c>
      <c r="F180" s="4">
        <v>11.82</v>
      </c>
      <c r="G180" s="4">
        <v>78.099999999999994</v>
      </c>
      <c r="H180" s="4">
        <v>125.7</v>
      </c>
      <c r="I180" s="4">
        <v>0.1</v>
      </c>
      <c r="J180" s="3">
        <v>4.4000000000000004</v>
      </c>
    </row>
    <row r="181" spans="1:10" x14ac:dyDescent="0.25">
      <c r="A181" s="8">
        <v>44901</v>
      </c>
      <c r="B181" s="3" t="s">
        <v>49</v>
      </c>
      <c r="C181" s="3" t="s">
        <v>15</v>
      </c>
      <c r="D181" s="4">
        <v>5.9</v>
      </c>
      <c r="E181" s="4">
        <v>92.9</v>
      </c>
      <c r="F181" s="4">
        <v>11.58</v>
      </c>
      <c r="G181" s="4"/>
      <c r="H181" s="4">
        <v>128.30000000000001</v>
      </c>
      <c r="I181" s="4">
        <v>0.1</v>
      </c>
      <c r="J181" s="3">
        <v>2.7</v>
      </c>
    </row>
    <row r="182" spans="1:10" x14ac:dyDescent="0.25">
      <c r="A182" s="8">
        <v>44901</v>
      </c>
      <c r="B182" s="3" t="s">
        <v>49</v>
      </c>
      <c r="C182" s="3" t="s">
        <v>15</v>
      </c>
      <c r="D182" s="4">
        <v>5.9</v>
      </c>
      <c r="E182" s="4">
        <v>92.2</v>
      </c>
      <c r="F182" s="4">
        <v>11.5</v>
      </c>
      <c r="G182" s="4">
        <v>81.5</v>
      </c>
      <c r="H182" s="4">
        <v>128.4</v>
      </c>
      <c r="I182" s="4">
        <v>0.1</v>
      </c>
      <c r="J182" s="3">
        <v>2.7</v>
      </c>
    </row>
    <row r="183" spans="1:10" x14ac:dyDescent="0.25">
      <c r="A183" s="8">
        <v>44834</v>
      </c>
      <c r="B183" s="3" t="s">
        <v>50</v>
      </c>
      <c r="C183" s="3" t="s">
        <v>37</v>
      </c>
      <c r="D183" s="4">
        <v>11</v>
      </c>
      <c r="E183" s="4">
        <v>98.1</v>
      </c>
      <c r="F183" s="4">
        <v>10.81</v>
      </c>
      <c r="G183" s="4">
        <v>98.2</v>
      </c>
      <c r="H183" s="4">
        <v>134.19999999999999</v>
      </c>
      <c r="I183" s="4">
        <v>0.1</v>
      </c>
      <c r="J183" s="3">
        <v>20</v>
      </c>
    </row>
    <row r="184" spans="1:10" x14ac:dyDescent="0.25">
      <c r="A184" s="8">
        <v>44841</v>
      </c>
      <c r="B184" s="3" t="s">
        <v>50</v>
      </c>
      <c r="C184" s="3" t="s">
        <v>11</v>
      </c>
      <c r="D184" s="4">
        <v>10.3</v>
      </c>
      <c r="E184" s="4">
        <v>96.2</v>
      </c>
      <c r="F184" s="4">
        <v>10.78</v>
      </c>
      <c r="G184" s="4">
        <v>97</v>
      </c>
      <c r="H184" s="4">
        <v>135</v>
      </c>
      <c r="I184" s="4">
        <v>0.1</v>
      </c>
      <c r="J184" s="3">
        <v>21.1</v>
      </c>
    </row>
    <row r="185" spans="1:10" x14ac:dyDescent="0.25">
      <c r="A185" s="8">
        <v>44841</v>
      </c>
      <c r="B185" s="3" t="s">
        <v>50</v>
      </c>
      <c r="C185" s="3" t="s">
        <v>11</v>
      </c>
      <c r="D185" s="4">
        <v>10.3</v>
      </c>
      <c r="E185" s="4">
        <v>96</v>
      </c>
      <c r="F185" s="4">
        <v>10.76</v>
      </c>
      <c r="G185" s="4">
        <v>97</v>
      </c>
      <c r="H185" s="4">
        <v>135</v>
      </c>
      <c r="I185" s="4">
        <v>0.1</v>
      </c>
      <c r="J185" s="3">
        <v>21.1</v>
      </c>
    </row>
    <row r="186" spans="1:10" x14ac:dyDescent="0.25">
      <c r="A186" s="8">
        <v>44852</v>
      </c>
      <c r="B186" s="3" t="s">
        <v>50</v>
      </c>
      <c r="C186" s="3" t="s">
        <v>14</v>
      </c>
      <c r="D186" s="4">
        <v>9</v>
      </c>
      <c r="E186" s="4">
        <v>97</v>
      </c>
      <c r="F186" s="4">
        <v>11.2</v>
      </c>
      <c r="G186" s="4">
        <v>78.7</v>
      </c>
      <c r="H186" s="4">
        <v>113.6</v>
      </c>
      <c r="I186" s="4">
        <v>0.1</v>
      </c>
      <c r="J186" s="3">
        <v>20</v>
      </c>
    </row>
    <row r="187" spans="1:10" x14ac:dyDescent="0.25">
      <c r="A187" s="8">
        <v>44852</v>
      </c>
      <c r="B187" s="3" t="s">
        <v>50</v>
      </c>
      <c r="C187" s="3" t="s">
        <v>14</v>
      </c>
      <c r="D187" s="4">
        <v>8.9</v>
      </c>
      <c r="E187" s="4">
        <v>96.9</v>
      </c>
      <c r="F187" s="4">
        <v>11.21</v>
      </c>
      <c r="G187" s="4">
        <v>85.6</v>
      </c>
      <c r="H187" s="4">
        <v>123.6</v>
      </c>
      <c r="I187" s="4">
        <v>0.1</v>
      </c>
      <c r="J187" s="3">
        <v>20</v>
      </c>
    </row>
    <row r="188" spans="1:10" x14ac:dyDescent="0.25">
      <c r="A188" s="9">
        <v>44866</v>
      </c>
      <c r="B188" s="3" t="s">
        <v>50</v>
      </c>
      <c r="C188" s="3" t="s">
        <v>10</v>
      </c>
      <c r="D188" s="4">
        <v>9.1999999999999993</v>
      </c>
      <c r="E188" s="4">
        <v>92.4</v>
      </c>
      <c r="F188" s="4">
        <v>10.64</v>
      </c>
      <c r="G188" s="4">
        <v>79</v>
      </c>
      <c r="H188" s="4">
        <v>113.4</v>
      </c>
      <c r="I188" s="4">
        <v>0.1</v>
      </c>
      <c r="J188" s="3">
        <v>11.1</v>
      </c>
    </row>
    <row r="189" spans="1:10" x14ac:dyDescent="0.25">
      <c r="A189" s="8">
        <v>44880</v>
      </c>
      <c r="B189" s="3" t="s">
        <v>50</v>
      </c>
      <c r="C189" s="3" t="s">
        <v>10</v>
      </c>
      <c r="D189" s="4">
        <v>6.2</v>
      </c>
      <c r="E189" s="4">
        <v>99.2</v>
      </c>
      <c r="F189" s="4">
        <v>12.27</v>
      </c>
      <c r="G189" s="4">
        <v>83.4</v>
      </c>
      <c r="H189" s="4">
        <v>130.4</v>
      </c>
      <c r="I189" s="4">
        <v>0.1</v>
      </c>
      <c r="J189" s="3">
        <v>7.2</v>
      </c>
    </row>
    <row r="190" spans="1:10" x14ac:dyDescent="0.25">
      <c r="A190" s="8">
        <v>44880</v>
      </c>
      <c r="B190" s="3" t="s">
        <v>50</v>
      </c>
      <c r="C190" s="3" t="s">
        <v>10</v>
      </c>
      <c r="D190" s="4">
        <v>6.1</v>
      </c>
      <c r="E190" s="4">
        <v>98.6</v>
      </c>
      <c r="F190" s="4">
        <v>12.24</v>
      </c>
      <c r="G190" s="4">
        <v>83.5</v>
      </c>
      <c r="H190" s="4">
        <v>130.80000000000001</v>
      </c>
      <c r="I190" s="4">
        <v>0.1</v>
      </c>
      <c r="J190" s="3">
        <v>7.2</v>
      </c>
    </row>
    <row r="191" spans="1:10" x14ac:dyDescent="0.25">
      <c r="A191" s="8">
        <v>44910</v>
      </c>
      <c r="B191" s="3" t="s">
        <v>50</v>
      </c>
      <c r="C191" s="3" t="s">
        <v>10</v>
      </c>
      <c r="D191" s="4">
        <v>5.3</v>
      </c>
      <c r="E191" s="4">
        <v>86.1</v>
      </c>
      <c r="F191" s="4">
        <v>10.86</v>
      </c>
      <c r="G191" s="4">
        <v>59.6</v>
      </c>
      <c r="H191" s="4">
        <v>79.5</v>
      </c>
      <c r="I191" s="4">
        <v>0</v>
      </c>
      <c r="J191" s="3">
        <v>4.4000000000000004</v>
      </c>
    </row>
    <row r="192" spans="1:10" x14ac:dyDescent="0.25">
      <c r="A192" s="8">
        <v>44910</v>
      </c>
      <c r="B192" s="3" t="s">
        <v>50</v>
      </c>
      <c r="C192" s="3" t="s">
        <v>10</v>
      </c>
      <c r="D192" s="4">
        <v>5.2</v>
      </c>
      <c r="E192" s="4">
        <v>85.5</v>
      </c>
      <c r="F192" s="4">
        <v>10.86</v>
      </c>
      <c r="G192" s="4">
        <v>58.9</v>
      </c>
      <c r="H192" s="4">
        <v>78.8</v>
      </c>
      <c r="I192" s="4">
        <v>0</v>
      </c>
      <c r="J192" s="3">
        <v>4.4000000000000004</v>
      </c>
    </row>
    <row r="193" spans="1:10" x14ac:dyDescent="0.25">
      <c r="A193" s="8">
        <v>44914</v>
      </c>
      <c r="B193" s="3" t="s">
        <v>50</v>
      </c>
      <c r="C193" s="3" t="s">
        <v>38</v>
      </c>
      <c r="D193" s="4">
        <v>4.5999999999999996</v>
      </c>
      <c r="E193" s="4">
        <v>81</v>
      </c>
      <c r="F193" s="4">
        <v>10.36</v>
      </c>
      <c r="G193" s="4">
        <v>71.5</v>
      </c>
      <c r="H193" s="4">
        <v>117.2</v>
      </c>
      <c r="I193" s="4">
        <v>0.1</v>
      </c>
      <c r="J193" s="3">
        <v>0</v>
      </c>
    </row>
    <row r="194" spans="1:10" x14ac:dyDescent="0.25">
      <c r="A194" s="8">
        <v>44914</v>
      </c>
      <c r="B194" s="3" t="s">
        <v>50</v>
      </c>
      <c r="C194" s="3" t="s">
        <v>38</v>
      </c>
      <c r="D194" s="4">
        <v>4.5</v>
      </c>
      <c r="E194" s="4">
        <v>81</v>
      </c>
      <c r="F194" s="4">
        <v>10.35</v>
      </c>
      <c r="G194" s="4">
        <v>71.599999999999994</v>
      </c>
      <c r="H194" s="4">
        <v>117.4</v>
      </c>
      <c r="I194" s="4">
        <v>0.1</v>
      </c>
      <c r="J194" s="3">
        <v>0</v>
      </c>
    </row>
    <row r="195" spans="1:10" x14ac:dyDescent="0.25">
      <c r="A195" s="8">
        <v>44834</v>
      </c>
      <c r="B195" s="3" t="s">
        <v>51</v>
      </c>
      <c r="C195" s="3" t="s">
        <v>39</v>
      </c>
      <c r="D195" s="4">
        <v>11.1</v>
      </c>
      <c r="E195" s="4">
        <v>96</v>
      </c>
      <c r="F195" s="4">
        <v>10.56</v>
      </c>
      <c r="G195" s="4">
        <v>100</v>
      </c>
      <c r="H195" s="4">
        <v>136.30000000000001</v>
      </c>
      <c r="I195" s="4">
        <v>0.1</v>
      </c>
      <c r="J195" s="3">
        <v>20.5</v>
      </c>
    </row>
    <row r="196" spans="1:10" x14ac:dyDescent="0.25">
      <c r="A196" s="8">
        <v>44834</v>
      </c>
      <c r="B196" s="3" t="s">
        <v>51</v>
      </c>
      <c r="C196" s="3" t="s">
        <v>39</v>
      </c>
      <c r="D196" s="4">
        <v>11</v>
      </c>
      <c r="E196" s="4">
        <v>96</v>
      </c>
      <c r="F196" s="4">
        <v>10.57</v>
      </c>
      <c r="G196" s="4">
        <v>100</v>
      </c>
      <c r="H196" s="4">
        <v>136.30000000000001</v>
      </c>
      <c r="I196" s="4">
        <v>0.1</v>
      </c>
      <c r="J196" s="3">
        <v>20.5</v>
      </c>
    </row>
    <row r="197" spans="1:10" x14ac:dyDescent="0.25">
      <c r="A197" s="8">
        <v>44834</v>
      </c>
      <c r="B197" s="3" t="s">
        <v>51</v>
      </c>
      <c r="C197" s="3" t="s">
        <v>39</v>
      </c>
      <c r="D197" s="4">
        <v>10.9</v>
      </c>
      <c r="E197" s="4">
        <v>97.8</v>
      </c>
      <c r="F197" s="4">
        <v>10.8</v>
      </c>
      <c r="G197" s="4">
        <v>98.2</v>
      </c>
      <c r="H197" s="4">
        <v>134.4</v>
      </c>
      <c r="I197" s="4">
        <v>0.1</v>
      </c>
      <c r="J197" s="3">
        <v>20</v>
      </c>
    </row>
    <row r="198" spans="1:10" x14ac:dyDescent="0.25">
      <c r="A198" s="8">
        <v>44841</v>
      </c>
      <c r="B198" s="3" t="s">
        <v>51</v>
      </c>
      <c r="C198" s="3" t="s">
        <v>11</v>
      </c>
      <c r="D198" s="4">
        <v>10.7</v>
      </c>
      <c r="E198" s="4">
        <v>95.7</v>
      </c>
      <c r="F198" s="4">
        <v>10.63</v>
      </c>
      <c r="G198" s="4">
        <v>97.1</v>
      </c>
      <c r="H198" s="4">
        <v>134.5</v>
      </c>
      <c r="I198" s="4">
        <v>0.1</v>
      </c>
      <c r="J198" s="3">
        <v>23.8</v>
      </c>
    </row>
    <row r="199" spans="1:10" x14ac:dyDescent="0.25">
      <c r="A199" s="8">
        <v>44841</v>
      </c>
      <c r="B199" s="3" t="s">
        <v>51</v>
      </c>
      <c r="C199" s="3" t="s">
        <v>11</v>
      </c>
      <c r="D199" s="4">
        <v>10.6</v>
      </c>
      <c r="E199" s="4">
        <v>95.5</v>
      </c>
      <c r="F199" s="4">
        <v>10.61</v>
      </c>
      <c r="G199" s="4">
        <v>97</v>
      </c>
      <c r="H199" s="4">
        <v>133.69999999999999</v>
      </c>
      <c r="I199" s="4">
        <v>0.1</v>
      </c>
      <c r="J199" s="3">
        <v>23.8</v>
      </c>
    </row>
    <row r="200" spans="1:10" x14ac:dyDescent="0.25">
      <c r="A200" s="8">
        <v>44852</v>
      </c>
      <c r="B200" s="3" t="s">
        <v>51</v>
      </c>
      <c r="C200" s="3" t="s">
        <v>14</v>
      </c>
      <c r="D200" s="4">
        <v>9.3000000000000007</v>
      </c>
      <c r="E200" s="4">
        <v>98.2</v>
      </c>
      <c r="F200" s="4">
        <v>11.26</v>
      </c>
      <c r="G200" s="4">
        <v>93.7</v>
      </c>
      <c r="H200" s="4">
        <v>133.6</v>
      </c>
      <c r="I200" s="4">
        <v>0.1</v>
      </c>
      <c r="J200" s="3">
        <v>21.1</v>
      </c>
    </row>
    <row r="201" spans="1:10" x14ac:dyDescent="0.25">
      <c r="A201" s="8">
        <v>44852</v>
      </c>
      <c r="B201" s="3" t="s">
        <v>51</v>
      </c>
      <c r="C201" s="3" t="s">
        <v>14</v>
      </c>
      <c r="D201" s="4">
        <v>9.3000000000000007</v>
      </c>
      <c r="E201" s="4">
        <v>97.9</v>
      </c>
      <c r="F201" s="4">
        <v>11.24</v>
      </c>
      <c r="G201" s="4">
        <v>92</v>
      </c>
      <c r="H201" s="4">
        <v>131.6</v>
      </c>
      <c r="I201" s="4">
        <v>0.1</v>
      </c>
      <c r="J201" s="3">
        <v>21.1</v>
      </c>
    </row>
    <row r="202" spans="1:10" x14ac:dyDescent="0.25">
      <c r="A202" s="8">
        <v>44866</v>
      </c>
      <c r="B202" s="3" t="s">
        <v>51</v>
      </c>
      <c r="C202" s="3" t="s">
        <v>10</v>
      </c>
      <c r="D202" s="4">
        <v>9.1999999999999993</v>
      </c>
      <c r="E202" s="4">
        <v>91.2</v>
      </c>
      <c r="F202" s="4">
        <v>10.48</v>
      </c>
      <c r="G202" s="4">
        <v>85.3</v>
      </c>
      <c r="H202" s="4">
        <v>122.1</v>
      </c>
      <c r="I202" s="4">
        <v>0.1</v>
      </c>
      <c r="J202" s="3">
        <v>12.7</v>
      </c>
    </row>
    <row r="203" spans="1:10" x14ac:dyDescent="0.25">
      <c r="A203" s="8">
        <v>44866</v>
      </c>
      <c r="B203" s="3" t="s">
        <v>51</v>
      </c>
      <c r="C203" s="3" t="s">
        <v>10</v>
      </c>
      <c r="D203" s="4">
        <v>9.1999999999999993</v>
      </c>
      <c r="E203" s="4">
        <v>90.9</v>
      </c>
      <c r="F203" s="4">
        <v>10.46</v>
      </c>
      <c r="G203" s="4">
        <v>95.3</v>
      </c>
      <c r="H203" s="4">
        <v>122.1</v>
      </c>
      <c r="I203" s="4">
        <v>0.1</v>
      </c>
      <c r="J203" s="3">
        <v>12.7</v>
      </c>
    </row>
    <row r="204" spans="1:10" x14ac:dyDescent="0.25">
      <c r="A204" s="8">
        <v>44880</v>
      </c>
      <c r="B204" s="3" t="s">
        <v>51</v>
      </c>
      <c r="C204" s="3" t="s">
        <v>10</v>
      </c>
      <c r="D204" s="4">
        <v>6.9</v>
      </c>
      <c r="E204" s="4">
        <v>94</v>
      </c>
      <c r="F204" s="4">
        <v>11.46</v>
      </c>
      <c r="G204" s="4">
        <v>87.1</v>
      </c>
      <c r="H204" s="4">
        <v>133.5</v>
      </c>
      <c r="I204" s="4">
        <v>0.1</v>
      </c>
      <c r="J204" s="3">
        <v>7.7</v>
      </c>
    </row>
    <row r="205" spans="1:10" x14ac:dyDescent="0.25">
      <c r="A205" s="8">
        <v>44880</v>
      </c>
      <c r="B205" s="3" t="s">
        <v>51</v>
      </c>
      <c r="C205" s="3" t="s">
        <v>10</v>
      </c>
      <c r="D205" s="4">
        <v>6.8</v>
      </c>
      <c r="E205" s="4">
        <v>94.1</v>
      </c>
      <c r="F205" s="4">
        <v>11.48</v>
      </c>
      <c r="G205" s="4">
        <v>87.1</v>
      </c>
      <c r="H205" s="4">
        <v>133.69999999999999</v>
      </c>
      <c r="I205" s="4">
        <v>0.1</v>
      </c>
      <c r="J205" s="3">
        <v>7.7</v>
      </c>
    </row>
    <row r="206" spans="1:10" x14ac:dyDescent="0.25">
      <c r="A206" s="8">
        <v>44910</v>
      </c>
      <c r="B206" s="3" t="s">
        <v>51</v>
      </c>
      <c r="C206" s="3" t="s">
        <v>15</v>
      </c>
      <c r="D206" s="4">
        <v>5.8</v>
      </c>
      <c r="E206" s="4">
        <v>90.8</v>
      </c>
      <c r="F206" s="4">
        <v>11.32</v>
      </c>
      <c r="G206" s="4">
        <v>23.4</v>
      </c>
      <c r="H206" s="4">
        <v>115.1</v>
      </c>
      <c r="I206" s="4">
        <v>0.1</v>
      </c>
      <c r="J206" s="3">
        <v>5</v>
      </c>
    </row>
    <row r="207" spans="1:10" x14ac:dyDescent="0.25">
      <c r="A207" s="8">
        <v>44910</v>
      </c>
      <c r="B207" s="3" t="s">
        <v>51</v>
      </c>
      <c r="C207" s="3" t="s">
        <v>15</v>
      </c>
      <c r="D207" s="4">
        <v>5.8</v>
      </c>
      <c r="E207" s="4">
        <v>90.3</v>
      </c>
      <c r="F207" s="4">
        <v>11.28</v>
      </c>
      <c r="G207" s="4">
        <v>23.4</v>
      </c>
      <c r="H207" s="4">
        <v>115.1</v>
      </c>
      <c r="I207" s="4">
        <v>0.1</v>
      </c>
      <c r="J207" s="3">
        <v>5</v>
      </c>
    </row>
    <row r="208" spans="1:10" x14ac:dyDescent="0.25">
      <c r="A208" s="8">
        <v>44914</v>
      </c>
      <c r="B208" s="3" t="s">
        <v>51</v>
      </c>
      <c r="C208" s="3" t="s">
        <v>38</v>
      </c>
      <c r="D208" s="4">
        <v>5</v>
      </c>
      <c r="E208" s="4">
        <v>82.2</v>
      </c>
      <c r="F208" s="4">
        <v>10.46</v>
      </c>
      <c r="G208" s="4">
        <v>77.3</v>
      </c>
      <c r="H208" s="4">
        <v>125</v>
      </c>
      <c r="I208" s="4">
        <v>0.1</v>
      </c>
      <c r="J208" s="3">
        <v>0</v>
      </c>
    </row>
    <row r="209" spans="1:10" x14ac:dyDescent="0.25">
      <c r="A209" s="8">
        <v>44914</v>
      </c>
      <c r="B209" s="3" t="s">
        <v>51</v>
      </c>
      <c r="C209" s="3" t="s">
        <v>38</v>
      </c>
      <c r="D209" s="4">
        <v>5</v>
      </c>
      <c r="E209" s="4">
        <v>81.599999999999994</v>
      </c>
      <c r="F209" s="4">
        <v>10.39</v>
      </c>
      <c r="G209" s="4">
        <v>77.3</v>
      </c>
      <c r="H209" s="4">
        <v>125</v>
      </c>
      <c r="I209" s="4">
        <v>0.1</v>
      </c>
      <c r="J209" s="3">
        <v>0</v>
      </c>
    </row>
    <row r="210" spans="1:10" x14ac:dyDescent="0.25">
      <c r="A210" s="8">
        <v>44931</v>
      </c>
      <c r="B210" s="3" t="s">
        <v>52</v>
      </c>
      <c r="C210" s="3" t="s">
        <v>24</v>
      </c>
      <c r="D210" s="4">
        <v>6.7</v>
      </c>
      <c r="E210" s="4">
        <v>100.8</v>
      </c>
      <c r="F210" s="4">
        <v>12.32</v>
      </c>
      <c r="G210" s="4">
        <v>57.4</v>
      </c>
      <c r="H210" s="4">
        <v>88.1</v>
      </c>
      <c r="I210" s="4">
        <v>0</v>
      </c>
      <c r="J210" s="3">
        <v>8.3000000000000007</v>
      </c>
    </row>
    <row r="211" spans="1:10" x14ac:dyDescent="0.25">
      <c r="A211" s="8">
        <v>44931</v>
      </c>
      <c r="B211" s="3" t="s">
        <v>52</v>
      </c>
      <c r="C211" s="3" t="s">
        <v>24</v>
      </c>
      <c r="D211" s="4">
        <v>6.7</v>
      </c>
      <c r="E211" s="4">
        <v>100.6</v>
      </c>
      <c r="F211" s="4">
        <v>12.29</v>
      </c>
      <c r="G211" s="4">
        <v>57.4</v>
      </c>
      <c r="H211" s="4">
        <v>88.2</v>
      </c>
      <c r="I211" s="4">
        <v>0</v>
      </c>
      <c r="J211" s="3">
        <v>8.3000000000000007</v>
      </c>
    </row>
    <row r="212" spans="1:10" x14ac:dyDescent="0.25">
      <c r="A212" s="8">
        <v>44931</v>
      </c>
      <c r="B212" s="3" t="s">
        <v>53</v>
      </c>
      <c r="C212" s="3" t="s">
        <v>24</v>
      </c>
      <c r="D212" s="4">
        <v>6.9</v>
      </c>
      <c r="E212" s="4">
        <v>95</v>
      </c>
      <c r="F212" s="4">
        <v>11.52</v>
      </c>
      <c r="G212" s="4">
        <v>58.1</v>
      </c>
      <c r="H212" s="4">
        <v>88.1</v>
      </c>
      <c r="I212" s="4">
        <v>0</v>
      </c>
      <c r="J212" s="3">
        <v>8.3000000000000007</v>
      </c>
    </row>
    <row r="213" spans="1:10" x14ac:dyDescent="0.25">
      <c r="A213" s="8">
        <v>44931</v>
      </c>
      <c r="B213" s="3" t="s">
        <v>53</v>
      </c>
      <c r="C213" s="3" t="s">
        <v>24</v>
      </c>
      <c r="D213" s="4">
        <v>6.9</v>
      </c>
      <c r="E213" s="4">
        <v>94.6</v>
      </c>
      <c r="F213" s="4">
        <v>11.48</v>
      </c>
      <c r="G213" s="4">
        <v>58</v>
      </c>
      <c r="H213" s="4">
        <v>88.8</v>
      </c>
      <c r="I213" s="4">
        <v>0</v>
      </c>
      <c r="J213" s="3">
        <v>8.3000000000000007</v>
      </c>
    </row>
  </sheetData>
  <mergeCells count="96">
    <mergeCell ref="AA92:AB92"/>
    <mergeCell ref="AA93:AB93"/>
    <mergeCell ref="AA94:AB94"/>
    <mergeCell ref="AA95:AB95"/>
    <mergeCell ref="AA96:AB96"/>
    <mergeCell ref="AA97:AB97"/>
    <mergeCell ref="AA86:AB86"/>
    <mergeCell ref="AA87:AB87"/>
    <mergeCell ref="AA88:AB88"/>
    <mergeCell ref="AA89:AB89"/>
    <mergeCell ref="AA90:AB90"/>
    <mergeCell ref="AA91:AB91"/>
    <mergeCell ref="AA80:AB80"/>
    <mergeCell ref="AA81:AB81"/>
    <mergeCell ref="AA82:AB82"/>
    <mergeCell ref="AA83:AB83"/>
    <mergeCell ref="AA84:AB84"/>
    <mergeCell ref="AA85:AB85"/>
    <mergeCell ref="AA74:AB74"/>
    <mergeCell ref="AA75:AB75"/>
    <mergeCell ref="AA76:AB76"/>
    <mergeCell ref="AA77:AB77"/>
    <mergeCell ref="AA78:AB78"/>
    <mergeCell ref="AA79:AB79"/>
    <mergeCell ref="AA68:AB68"/>
    <mergeCell ref="AA69:AB69"/>
    <mergeCell ref="AA70:AB70"/>
    <mergeCell ref="AA71:AB71"/>
    <mergeCell ref="AA72:AB72"/>
    <mergeCell ref="AA73:AB73"/>
    <mergeCell ref="AA62:AB62"/>
    <mergeCell ref="AA63:AB63"/>
    <mergeCell ref="AA64:AB64"/>
    <mergeCell ref="AA65:AB65"/>
    <mergeCell ref="AA66:AB66"/>
    <mergeCell ref="AA67:AB67"/>
    <mergeCell ref="AA56:AB56"/>
    <mergeCell ref="AA57:AB57"/>
    <mergeCell ref="AA58:AB58"/>
    <mergeCell ref="AA59:AB59"/>
    <mergeCell ref="AA60:AB60"/>
    <mergeCell ref="AA61:AB61"/>
    <mergeCell ref="AA50:AB50"/>
    <mergeCell ref="AA51:AB51"/>
    <mergeCell ref="AA52:AB52"/>
    <mergeCell ref="AA53:AB53"/>
    <mergeCell ref="AA54:AB54"/>
    <mergeCell ref="AA55:AB55"/>
    <mergeCell ref="AA44:AB44"/>
    <mergeCell ref="AA45:AB45"/>
    <mergeCell ref="AA46:AB46"/>
    <mergeCell ref="AA47:AB47"/>
    <mergeCell ref="AA48:AB48"/>
    <mergeCell ref="AA49:AB49"/>
    <mergeCell ref="AA38:AB38"/>
    <mergeCell ref="AA39:AB39"/>
    <mergeCell ref="AA40:AB40"/>
    <mergeCell ref="AA41:AB41"/>
    <mergeCell ref="AA42:AB42"/>
    <mergeCell ref="AA43:AB43"/>
    <mergeCell ref="AA32:AB32"/>
    <mergeCell ref="AA33:AB33"/>
    <mergeCell ref="AA34:AB34"/>
    <mergeCell ref="AA35:AB35"/>
    <mergeCell ref="AA36:AB36"/>
    <mergeCell ref="AA37:AB37"/>
    <mergeCell ref="AA26:AB26"/>
    <mergeCell ref="AA27:AB27"/>
    <mergeCell ref="AA28:AB28"/>
    <mergeCell ref="AA29:AB29"/>
    <mergeCell ref="AA30:AB30"/>
    <mergeCell ref="AA31:AB31"/>
    <mergeCell ref="AA20:AB20"/>
    <mergeCell ref="AA21:AB21"/>
    <mergeCell ref="AA22:AB22"/>
    <mergeCell ref="AA23:AB23"/>
    <mergeCell ref="AA24:AB24"/>
    <mergeCell ref="AA25:AB25"/>
    <mergeCell ref="AA14:AB14"/>
    <mergeCell ref="AA15:AB15"/>
    <mergeCell ref="AA16:AB16"/>
    <mergeCell ref="AA17:AB17"/>
    <mergeCell ref="AA18:AB18"/>
    <mergeCell ref="AA19:AB19"/>
    <mergeCell ref="AA8:AB8"/>
    <mergeCell ref="AA9:AB9"/>
    <mergeCell ref="AA10:AB10"/>
    <mergeCell ref="AA11:AB11"/>
    <mergeCell ref="AA12:AB12"/>
    <mergeCell ref="AA13:AB13"/>
    <mergeCell ref="AA2:AB2"/>
    <mergeCell ref="AA3:AB3"/>
    <mergeCell ref="AA4:AB4"/>
    <mergeCell ref="AA5:AB5"/>
    <mergeCell ref="AA6:AB6"/>
    <mergeCell ref="AA7:A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Species Abundance</vt:lpstr>
      <vt:lpstr>Live Species Abundance</vt:lpstr>
      <vt:lpstr>Dead Species Abundance</vt:lpstr>
      <vt:lpstr>Run Duration</vt:lpstr>
      <vt:lpstr>Water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2023-12-12T23:18:17Z</dcterms:created>
  <dcterms:modified xsi:type="dcterms:W3CDTF">2023-12-13T19:57:19Z</dcterms:modified>
</cp:coreProperties>
</file>