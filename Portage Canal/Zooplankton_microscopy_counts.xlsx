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NR-Research\GitHub\PGST-Natural-Resources\Portage Canal\"/>
    </mc:Choice>
  </mc:AlternateContent>
  <xr:revisionPtr revIDLastSave="0" documentId="13_ncr:1_{CADE69B5-0F27-4E5B-AE68-3091E1AC89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M5" i="1" s="1"/>
  <c r="L6" i="1"/>
  <c r="L7" i="1"/>
  <c r="M7" i="1" s="1"/>
  <c r="L8" i="1"/>
  <c r="L9" i="1"/>
  <c r="M9" i="1" s="1"/>
  <c r="L10" i="1"/>
  <c r="L11" i="1"/>
  <c r="L12" i="1"/>
  <c r="L13" i="1"/>
  <c r="L14" i="1"/>
  <c r="M14" i="1" s="1"/>
  <c r="L15" i="1"/>
  <c r="M15" i="1" s="1"/>
  <c r="L16" i="1"/>
  <c r="L17" i="1"/>
  <c r="L18" i="1"/>
  <c r="M18" i="1" s="1"/>
  <c r="L19" i="1"/>
  <c r="L20" i="1"/>
  <c r="L21" i="1"/>
  <c r="L22" i="1"/>
  <c r="L23" i="1"/>
  <c r="L24" i="1"/>
  <c r="L25" i="1"/>
  <c r="M25" i="1" s="1"/>
  <c r="L26" i="1"/>
  <c r="M26" i="1" s="1"/>
  <c r="L27" i="1"/>
  <c r="L28" i="1"/>
  <c r="L29" i="1"/>
  <c r="M29" i="1" s="1"/>
  <c r="L30" i="1"/>
  <c r="M30" i="1" s="1"/>
  <c r="L31" i="1"/>
  <c r="M31" i="1" s="1"/>
  <c r="L32" i="1"/>
  <c r="L33" i="1"/>
  <c r="L34" i="1"/>
  <c r="M34" i="1" s="1"/>
  <c r="L35" i="1"/>
  <c r="L36" i="1"/>
  <c r="L37" i="1"/>
  <c r="L38" i="1"/>
  <c r="L39" i="1"/>
  <c r="M39" i="1" s="1"/>
  <c r="L40" i="1"/>
  <c r="L41" i="1"/>
  <c r="L42" i="1"/>
  <c r="L43" i="1"/>
  <c r="L44" i="1"/>
  <c r="L45" i="1"/>
  <c r="M45" i="1" s="1"/>
  <c r="L46" i="1"/>
  <c r="M46" i="1" s="1"/>
  <c r="L47" i="1"/>
  <c r="M47" i="1" s="1"/>
  <c r="L48" i="1"/>
  <c r="L49" i="1"/>
  <c r="M49" i="1" s="1"/>
  <c r="L50" i="1"/>
  <c r="M50" i="1" s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M63" i="1" s="1"/>
  <c r="L64" i="1"/>
  <c r="M64" i="1" s="1"/>
  <c r="L65" i="1"/>
  <c r="M65" i="1" s="1"/>
  <c r="L66" i="1"/>
  <c r="M66" i="1" s="1"/>
  <c r="L67" i="1"/>
  <c r="L68" i="1"/>
  <c r="L69" i="1"/>
  <c r="L70" i="1"/>
  <c r="L71" i="1"/>
  <c r="M71" i="1" s="1"/>
  <c r="L72" i="1"/>
  <c r="L73" i="1"/>
  <c r="M73" i="1" s="1"/>
  <c r="L74" i="1"/>
  <c r="M74" i="1" s="1"/>
  <c r="L75" i="1"/>
  <c r="L76" i="1"/>
  <c r="L77" i="1"/>
  <c r="L78" i="1"/>
  <c r="L79" i="1"/>
  <c r="L80" i="1"/>
  <c r="M80" i="1" s="1"/>
  <c r="L81" i="1"/>
  <c r="M81" i="1" s="1"/>
  <c r="L82" i="1"/>
  <c r="L83" i="1"/>
  <c r="L84" i="1"/>
  <c r="L85" i="1"/>
  <c r="L86" i="1"/>
  <c r="M86" i="1" s="1"/>
  <c r="L87" i="1"/>
  <c r="M87" i="1" s="1"/>
  <c r="L88" i="1"/>
  <c r="L89" i="1"/>
  <c r="L90" i="1"/>
  <c r="M90" i="1" s="1"/>
  <c r="L91" i="1"/>
  <c r="L92" i="1"/>
  <c r="L93" i="1"/>
  <c r="L94" i="1"/>
  <c r="L95" i="1"/>
  <c r="L96" i="1"/>
  <c r="L97" i="1"/>
  <c r="M97" i="1" s="1"/>
  <c r="L98" i="1"/>
  <c r="M98" i="1" s="1"/>
  <c r="L99" i="1"/>
  <c r="L100" i="1"/>
  <c r="L101" i="1"/>
  <c r="M101" i="1" s="1"/>
  <c r="L102" i="1"/>
  <c r="M102" i="1" s="1"/>
  <c r="L103" i="1"/>
  <c r="M103" i="1" s="1"/>
  <c r="L104" i="1"/>
  <c r="L105" i="1"/>
  <c r="M105" i="1" s="1"/>
  <c r="L106" i="1"/>
  <c r="M106" i="1" s="1"/>
  <c r="L107" i="1"/>
  <c r="L108" i="1"/>
  <c r="L109" i="1"/>
  <c r="L110" i="1"/>
  <c r="L111" i="1"/>
  <c r="M111" i="1" s="1"/>
  <c r="L112" i="1"/>
  <c r="L113" i="1"/>
  <c r="L114" i="1"/>
  <c r="L115" i="1"/>
  <c r="L116" i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M136" i="1" s="1"/>
  <c r="L137" i="1"/>
  <c r="M137" i="1" s="1"/>
  <c r="L138" i="1"/>
  <c r="L139" i="1"/>
  <c r="L140" i="1"/>
  <c r="L141" i="1"/>
  <c r="L142" i="1"/>
  <c r="M142" i="1" s="1"/>
  <c r="L143" i="1"/>
  <c r="M143" i="1" s="1"/>
  <c r="L144" i="1"/>
  <c r="L145" i="1"/>
  <c r="M145" i="1" s="1"/>
  <c r="L146" i="1"/>
  <c r="M146" i="1" s="1"/>
  <c r="L147" i="1"/>
  <c r="L148" i="1"/>
  <c r="L149" i="1"/>
  <c r="L150" i="1"/>
  <c r="L151" i="1"/>
  <c r="L152" i="1"/>
  <c r="L153" i="1"/>
  <c r="M153" i="1" s="1"/>
  <c r="L154" i="1"/>
  <c r="M154" i="1" s="1"/>
  <c r="L155" i="1"/>
  <c r="L156" i="1"/>
  <c r="L157" i="1"/>
  <c r="M157" i="1" s="1"/>
  <c r="L158" i="1"/>
  <c r="M158" i="1" s="1"/>
  <c r="L159" i="1"/>
  <c r="M159" i="1" s="1"/>
  <c r="L160" i="1"/>
  <c r="L161" i="1"/>
  <c r="L162" i="1"/>
  <c r="M162" i="1" s="1"/>
  <c r="L163" i="1"/>
  <c r="L164" i="1"/>
  <c r="L165" i="1"/>
  <c r="L166" i="1"/>
  <c r="L167" i="1"/>
  <c r="M167" i="1" s="1"/>
  <c r="L168" i="1"/>
  <c r="L169" i="1"/>
  <c r="L170" i="1"/>
  <c r="L171" i="1"/>
  <c r="L172" i="1"/>
  <c r="L173" i="1"/>
  <c r="M173" i="1" s="1"/>
  <c r="L174" i="1"/>
  <c r="M174" i="1" s="1"/>
  <c r="L175" i="1"/>
  <c r="M175" i="1" s="1"/>
  <c r="L176" i="1"/>
  <c r="L177" i="1"/>
  <c r="M177" i="1" s="1"/>
  <c r="L178" i="1"/>
  <c r="M178" i="1" s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M191" i="1" s="1"/>
  <c r="L192" i="1"/>
  <c r="M192" i="1" s="1"/>
  <c r="L193" i="1"/>
  <c r="M193" i="1" s="1"/>
  <c r="L194" i="1"/>
  <c r="M194" i="1" s="1"/>
  <c r="L195" i="1"/>
  <c r="L196" i="1"/>
  <c r="L197" i="1"/>
  <c r="L198" i="1"/>
  <c r="L199" i="1"/>
  <c r="M199" i="1" s="1"/>
  <c r="L200" i="1"/>
  <c r="L201" i="1"/>
  <c r="M201" i="1" s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M215" i="1" s="1"/>
  <c r="L216" i="1"/>
  <c r="M216" i="1" s="1"/>
  <c r="L217" i="1"/>
  <c r="M217" i="1" s="1"/>
  <c r="L218" i="1"/>
  <c r="M218" i="1" s="1"/>
  <c r="L219" i="1"/>
  <c r="L220" i="1"/>
  <c r="L221" i="1"/>
  <c r="M221" i="1" s="1"/>
  <c r="L222" i="1"/>
  <c r="L223" i="1"/>
  <c r="M223" i="1" s="1"/>
  <c r="L224" i="1"/>
  <c r="L225" i="1"/>
  <c r="L226" i="1"/>
  <c r="M226" i="1" s="1"/>
  <c r="L227" i="1"/>
  <c r="L228" i="1"/>
  <c r="L229" i="1"/>
  <c r="L230" i="1"/>
  <c r="L231" i="1"/>
  <c r="M231" i="1" s="1"/>
  <c r="L232" i="1"/>
  <c r="M232" i="1" s="1"/>
  <c r="L233" i="1"/>
  <c r="M233" i="1" s="1"/>
  <c r="L234" i="1"/>
  <c r="M234" i="1" s="1"/>
  <c r="L235" i="1"/>
  <c r="L236" i="1"/>
  <c r="L237" i="1"/>
  <c r="L238" i="1"/>
  <c r="M238" i="1" s="1"/>
  <c r="L239" i="1"/>
  <c r="M239" i="1" s="1"/>
  <c r="L240" i="1"/>
  <c r="L241" i="1"/>
  <c r="M241" i="1" s="1"/>
  <c r="L242" i="1"/>
  <c r="L243" i="1"/>
  <c r="L244" i="1"/>
  <c r="L245" i="1"/>
  <c r="L246" i="1"/>
  <c r="L247" i="1"/>
  <c r="L248" i="1"/>
  <c r="M248" i="1" s="1"/>
  <c r="L249" i="1"/>
  <c r="M249" i="1" s="1"/>
  <c r="L250" i="1"/>
  <c r="M250" i="1" s="1"/>
  <c r="L251" i="1"/>
  <c r="L252" i="1"/>
  <c r="L253" i="1"/>
  <c r="L254" i="1"/>
  <c r="L255" i="1"/>
  <c r="L256" i="1"/>
  <c r="L257" i="1"/>
  <c r="L258" i="1"/>
  <c r="M258" i="1" s="1"/>
  <c r="L259" i="1"/>
  <c r="L260" i="1"/>
  <c r="L261" i="1"/>
  <c r="L262" i="1"/>
  <c r="L263" i="1"/>
  <c r="M263" i="1" s="1"/>
  <c r="L264" i="1"/>
  <c r="L265" i="1"/>
  <c r="M265" i="1" s="1"/>
  <c r="L266" i="1"/>
  <c r="M266" i="1" s="1"/>
  <c r="L267" i="1"/>
  <c r="L268" i="1"/>
  <c r="L269" i="1"/>
  <c r="L270" i="1"/>
  <c r="L271" i="1"/>
  <c r="M271" i="1" s="1"/>
  <c r="L272" i="1"/>
  <c r="L273" i="1"/>
  <c r="L274" i="1"/>
  <c r="M274" i="1" s="1"/>
  <c r="L275" i="1"/>
  <c r="L276" i="1"/>
  <c r="L277" i="1"/>
  <c r="L278" i="1"/>
  <c r="L279" i="1"/>
  <c r="L280" i="1"/>
  <c r="L281" i="1"/>
  <c r="M281" i="1" s="1"/>
  <c r="L282" i="1"/>
  <c r="M282" i="1" s="1"/>
  <c r="L283" i="1"/>
  <c r="L284" i="1"/>
  <c r="L285" i="1"/>
  <c r="L286" i="1"/>
  <c r="M286" i="1" s="1"/>
  <c r="L287" i="1"/>
  <c r="M287" i="1" s="1"/>
  <c r="L288" i="1"/>
  <c r="L289" i="1"/>
  <c r="M289" i="1" s="1"/>
  <c r="L290" i="1"/>
  <c r="L291" i="1"/>
  <c r="L292" i="1"/>
  <c r="L293" i="1"/>
  <c r="L294" i="1"/>
  <c r="L295" i="1"/>
  <c r="M295" i="1" s="1"/>
  <c r="L296" i="1"/>
  <c r="L297" i="1"/>
  <c r="L298" i="1"/>
  <c r="L299" i="1"/>
  <c r="L300" i="1"/>
  <c r="L301" i="1"/>
  <c r="L302" i="1"/>
  <c r="L303" i="1"/>
  <c r="M303" i="1" s="1"/>
  <c r="L304" i="1"/>
  <c r="M304" i="1" s="1"/>
  <c r="L305" i="1"/>
  <c r="M305" i="1" s="1"/>
  <c r="L306" i="1"/>
  <c r="M306" i="1" s="1"/>
  <c r="L307" i="1"/>
  <c r="L308" i="1"/>
  <c r="L309" i="1"/>
  <c r="L310" i="1"/>
  <c r="L311" i="1"/>
  <c r="M311" i="1" s="1"/>
  <c r="L312" i="1"/>
  <c r="L313" i="1"/>
  <c r="M313" i="1" s="1"/>
  <c r="L314" i="1"/>
  <c r="M314" i="1" s="1"/>
  <c r="L315" i="1"/>
  <c r="L316" i="1"/>
  <c r="L317" i="1"/>
  <c r="L318" i="1"/>
  <c r="M318" i="1" s="1"/>
  <c r="L319" i="1"/>
  <c r="L320" i="1"/>
  <c r="L321" i="1"/>
  <c r="M321" i="1" s="1"/>
  <c r="L322" i="1"/>
  <c r="M322" i="1" s="1"/>
  <c r="L323" i="1"/>
  <c r="L324" i="1"/>
  <c r="L325" i="1"/>
  <c r="L326" i="1"/>
  <c r="L327" i="1"/>
  <c r="M327" i="1" s="1"/>
  <c r="L328" i="1"/>
  <c r="L329" i="1"/>
  <c r="L330" i="1"/>
  <c r="M330" i="1" s="1"/>
  <c r="L331" i="1"/>
  <c r="L332" i="1"/>
  <c r="L333" i="1"/>
  <c r="L334" i="1"/>
  <c r="M334" i="1" s="1"/>
  <c r="L335" i="1"/>
  <c r="M335" i="1" s="1"/>
  <c r="L336" i="1"/>
  <c r="L337" i="1"/>
  <c r="M337" i="1" s="1"/>
  <c r="L338" i="1"/>
  <c r="L339" i="1"/>
  <c r="L340" i="1"/>
  <c r="L341" i="1"/>
  <c r="L342" i="1"/>
  <c r="M342" i="1" s="1"/>
  <c r="L343" i="1"/>
  <c r="M343" i="1" s="1"/>
  <c r="L344" i="1"/>
  <c r="L345" i="1"/>
  <c r="M345" i="1" s="1"/>
  <c r="L346" i="1"/>
  <c r="M346" i="1" s="1"/>
  <c r="L347" i="1"/>
  <c r="L348" i="1"/>
  <c r="L349" i="1"/>
  <c r="L350" i="1"/>
  <c r="L351" i="1"/>
  <c r="L352" i="1"/>
  <c r="L353" i="1"/>
  <c r="L354" i="1"/>
  <c r="M354" i="1" s="1"/>
  <c r="L355" i="1"/>
  <c r="L356" i="1"/>
  <c r="L357" i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L364" i="1"/>
  <c r="L365" i="1"/>
  <c r="L366" i="1"/>
  <c r="L367" i="1"/>
  <c r="M367" i="1" s="1"/>
  <c r="L368" i="1"/>
  <c r="L369" i="1"/>
  <c r="M369" i="1" s="1"/>
  <c r="L370" i="1"/>
  <c r="M370" i="1" s="1"/>
  <c r="L371" i="1"/>
  <c r="L372" i="1"/>
  <c r="L373" i="1"/>
  <c r="L374" i="1"/>
  <c r="L375" i="1"/>
  <c r="L376" i="1"/>
  <c r="M376" i="1" s="1"/>
  <c r="L377" i="1"/>
  <c r="M377" i="1" s="1"/>
  <c r="L378" i="1"/>
  <c r="L379" i="1"/>
  <c r="M366" i="1"/>
  <c r="M10" i="1"/>
  <c r="M11" i="1"/>
  <c r="M12" i="1"/>
  <c r="M13" i="1"/>
  <c r="M19" i="1"/>
  <c r="M20" i="1"/>
  <c r="M21" i="1"/>
  <c r="M22" i="1"/>
  <c r="M27" i="1"/>
  <c r="M28" i="1"/>
  <c r="M35" i="1"/>
  <c r="M36" i="1"/>
  <c r="M37" i="1"/>
  <c r="M38" i="1"/>
  <c r="M42" i="1"/>
  <c r="M43" i="1"/>
  <c r="M44" i="1"/>
  <c r="M51" i="1"/>
  <c r="M52" i="1"/>
  <c r="M53" i="1"/>
  <c r="M54" i="1"/>
  <c r="M58" i="1"/>
  <c r="M59" i="1"/>
  <c r="M60" i="1"/>
  <c r="M61" i="1"/>
  <c r="M67" i="1"/>
  <c r="M68" i="1"/>
  <c r="M69" i="1"/>
  <c r="M70" i="1"/>
  <c r="M75" i="1"/>
  <c r="M76" i="1"/>
  <c r="M77" i="1"/>
  <c r="M82" i="1"/>
  <c r="M83" i="1"/>
  <c r="M84" i="1"/>
  <c r="M85" i="1"/>
  <c r="M91" i="1"/>
  <c r="M92" i="1"/>
  <c r="M93" i="1"/>
  <c r="M99" i="1"/>
  <c r="M100" i="1"/>
  <c r="M107" i="1"/>
  <c r="M108" i="1"/>
  <c r="M109" i="1"/>
  <c r="M114" i="1"/>
  <c r="M115" i="1"/>
  <c r="M116" i="1"/>
  <c r="M123" i="1"/>
  <c r="M124" i="1"/>
  <c r="M125" i="1"/>
  <c r="M130" i="1"/>
  <c r="M131" i="1"/>
  <c r="M132" i="1"/>
  <c r="M133" i="1"/>
  <c r="M134" i="1"/>
  <c r="M138" i="1"/>
  <c r="M139" i="1"/>
  <c r="M140" i="1"/>
  <c r="M141" i="1"/>
  <c r="M147" i="1"/>
  <c r="M148" i="1"/>
  <c r="M149" i="1"/>
  <c r="M150" i="1"/>
  <c r="M155" i="1"/>
  <c r="M156" i="1"/>
  <c r="M163" i="1"/>
  <c r="M164" i="1"/>
  <c r="M165" i="1"/>
  <c r="M166" i="1"/>
  <c r="M170" i="1"/>
  <c r="M171" i="1"/>
  <c r="M172" i="1"/>
  <c r="M179" i="1"/>
  <c r="M180" i="1"/>
  <c r="M181" i="1"/>
  <c r="M182" i="1"/>
  <c r="M186" i="1"/>
  <c r="M187" i="1"/>
  <c r="M188" i="1"/>
  <c r="M189" i="1"/>
  <c r="M195" i="1"/>
  <c r="M196" i="1"/>
  <c r="M197" i="1"/>
  <c r="M198" i="1"/>
  <c r="M203" i="1"/>
  <c r="M204" i="1"/>
  <c r="M205" i="1"/>
  <c r="M206" i="1"/>
  <c r="M207" i="1"/>
  <c r="M214" i="1"/>
  <c r="M219" i="1"/>
  <c r="M220" i="1"/>
  <c r="M227" i="1"/>
  <c r="M228" i="1"/>
  <c r="M229" i="1"/>
  <c r="M230" i="1"/>
  <c r="M236" i="1"/>
  <c r="M237" i="1"/>
  <c r="M244" i="1"/>
  <c r="M245" i="1"/>
  <c r="M246" i="1"/>
  <c r="M251" i="1"/>
  <c r="M252" i="1"/>
  <c r="M254" i="1"/>
  <c r="M259" i="1"/>
  <c r="M260" i="1"/>
  <c r="M261" i="1"/>
  <c r="M262" i="1"/>
  <c r="M268" i="1"/>
  <c r="M270" i="1"/>
  <c r="M276" i="1"/>
  <c r="M277" i="1"/>
  <c r="M278" i="1"/>
  <c r="M283" i="1"/>
  <c r="M284" i="1"/>
  <c r="M285" i="1"/>
  <c r="M291" i="1"/>
  <c r="M292" i="1"/>
  <c r="M293" i="1"/>
  <c r="M294" i="1"/>
  <c r="M301" i="1"/>
  <c r="M302" i="1"/>
  <c r="M308" i="1"/>
  <c r="M309" i="1"/>
  <c r="M310" i="1"/>
  <c r="M315" i="1"/>
  <c r="M316" i="1"/>
  <c r="M317" i="1"/>
  <c r="M323" i="1"/>
  <c r="M324" i="1"/>
  <c r="M325" i="1"/>
  <c r="M326" i="1"/>
  <c r="M332" i="1"/>
  <c r="M333" i="1"/>
  <c r="M339" i="1"/>
  <c r="M340" i="1"/>
  <c r="M347" i="1"/>
  <c r="M348" i="1"/>
  <c r="M349" i="1"/>
  <c r="M350" i="1"/>
  <c r="M365" i="1"/>
  <c r="M371" i="1"/>
  <c r="M372" i="1"/>
  <c r="M373" i="1"/>
  <c r="M374" i="1"/>
  <c r="M378" i="1"/>
  <c r="M379" i="1"/>
  <c r="M4" i="1"/>
  <c r="L2" i="1"/>
  <c r="M208" i="1"/>
  <c r="M209" i="1"/>
  <c r="M211" i="1"/>
  <c r="M212" i="1"/>
  <c r="M235" i="1"/>
  <c r="M243" i="1"/>
  <c r="M267" i="1"/>
  <c r="M275" i="1"/>
  <c r="M299" i="1"/>
  <c r="M300" i="1"/>
  <c r="M307" i="1"/>
  <c r="M329" i="1"/>
  <c r="M331" i="1"/>
  <c r="M355" i="1"/>
  <c r="M356" i="1"/>
  <c r="M363" i="1"/>
  <c r="M364" i="1"/>
  <c r="M202" i="1"/>
  <c r="M6" i="1"/>
  <c r="M8" i="1"/>
  <c r="M16" i="1"/>
  <c r="M17" i="1"/>
  <c r="M23" i="1"/>
  <c r="M24" i="1"/>
  <c r="M32" i="1"/>
  <c r="M33" i="1"/>
  <c r="M40" i="1"/>
  <c r="M41" i="1"/>
  <c r="M48" i="1"/>
  <c r="M55" i="1"/>
  <c r="M56" i="1"/>
  <c r="M57" i="1"/>
  <c r="M62" i="1"/>
  <c r="M72" i="1"/>
  <c r="M78" i="1"/>
  <c r="M79" i="1"/>
  <c r="M88" i="1"/>
  <c r="M89" i="1"/>
  <c r="M94" i="1"/>
  <c r="M95" i="1"/>
  <c r="M96" i="1"/>
  <c r="M104" i="1"/>
  <c r="M110" i="1"/>
  <c r="M112" i="1"/>
  <c r="M113" i="1"/>
  <c r="M126" i="1"/>
  <c r="M127" i="1"/>
  <c r="M128" i="1"/>
  <c r="M129" i="1"/>
  <c r="M135" i="1"/>
  <c r="M144" i="1"/>
  <c r="M151" i="1"/>
  <c r="M152" i="1"/>
  <c r="M160" i="1"/>
  <c r="M161" i="1"/>
  <c r="M168" i="1"/>
  <c r="M169" i="1"/>
  <c r="M176" i="1"/>
  <c r="M183" i="1"/>
  <c r="M184" i="1"/>
  <c r="M185" i="1"/>
  <c r="M190" i="1"/>
  <c r="M200" i="1"/>
  <c r="M210" i="1"/>
  <c r="M213" i="1"/>
  <c r="M222" i="1"/>
  <c r="M224" i="1"/>
  <c r="M225" i="1"/>
  <c r="M240" i="1"/>
  <c r="M242" i="1"/>
  <c r="M247" i="1"/>
  <c r="M253" i="1"/>
  <c r="M255" i="1"/>
  <c r="M256" i="1"/>
  <c r="M257" i="1"/>
  <c r="M264" i="1"/>
  <c r="M269" i="1"/>
  <c r="M272" i="1"/>
  <c r="M273" i="1"/>
  <c r="M279" i="1"/>
  <c r="M280" i="1"/>
  <c r="M288" i="1"/>
  <c r="M290" i="1"/>
  <c r="M296" i="1"/>
  <c r="M297" i="1"/>
  <c r="M298" i="1"/>
  <c r="M312" i="1"/>
  <c r="M319" i="1"/>
  <c r="M320" i="1"/>
  <c r="M328" i="1"/>
  <c r="M336" i="1"/>
  <c r="M338" i="1"/>
  <c r="M341" i="1"/>
  <c r="M344" i="1"/>
  <c r="M351" i="1"/>
  <c r="M352" i="1"/>
  <c r="M353" i="1"/>
  <c r="M357" i="1"/>
  <c r="M368" i="1"/>
  <c r="M375" i="1"/>
  <c r="M3" i="1"/>
  <c r="M2" i="1"/>
</calcChain>
</file>

<file path=xl/sharedStrings.xml><?xml version="1.0" encoding="utf-8"?>
<sst xmlns="http://schemas.openxmlformats.org/spreadsheetml/2006/main" count="1377" uniqueCount="50">
  <si>
    <t>Project</t>
  </si>
  <si>
    <t>Location</t>
  </si>
  <si>
    <t>Date</t>
  </si>
  <si>
    <t>Time</t>
  </si>
  <si>
    <t>Plankton in Sample</t>
  </si>
  <si>
    <t>Environmental Plankton Concentration</t>
  </si>
  <si>
    <t>Zooplankton Species</t>
  </si>
  <si>
    <t>Lifestage</t>
  </si>
  <si>
    <t>Count</t>
  </si>
  <si>
    <t>Kelp</t>
  </si>
  <si>
    <t>Barnacle</t>
  </si>
  <si>
    <t>Molt</t>
  </si>
  <si>
    <t>Zoea</t>
  </si>
  <si>
    <t>Nauplius</t>
  </si>
  <si>
    <t>Siphonophore</t>
  </si>
  <si>
    <t>Amphipod</t>
  </si>
  <si>
    <t>hyperiid</t>
  </si>
  <si>
    <t>Megalops</t>
  </si>
  <si>
    <t>Euphausiid</t>
  </si>
  <si>
    <t>Furcilia</t>
  </si>
  <si>
    <t>Copepod</t>
  </si>
  <si>
    <t>Zoea porcelanid</t>
  </si>
  <si>
    <t>nauplius</t>
  </si>
  <si>
    <t>Bug</t>
  </si>
  <si>
    <t>Polychaete worm</t>
  </si>
  <si>
    <t>Hermit Larvae</t>
  </si>
  <si>
    <t>Ctenophore</t>
  </si>
  <si>
    <t>Jelly</t>
  </si>
  <si>
    <t>Zoea Porcleanid</t>
  </si>
  <si>
    <t>Zoea Porcelanid</t>
  </si>
  <si>
    <t>Hyperiid</t>
  </si>
  <si>
    <t>Fish</t>
  </si>
  <si>
    <t>Larvae</t>
  </si>
  <si>
    <t>Worm</t>
  </si>
  <si>
    <t>Polychaete</t>
  </si>
  <si>
    <t>Roundworm</t>
  </si>
  <si>
    <t>Calyptopis</t>
  </si>
  <si>
    <t>Egg</t>
  </si>
  <si>
    <t>Cyprid</t>
  </si>
  <si>
    <t>Octopus</t>
  </si>
  <si>
    <t>Volume Filtered (L)</t>
  </si>
  <si>
    <t>Species Concentration (Individuals/L)</t>
  </si>
  <si>
    <t>Decapod</t>
  </si>
  <si>
    <t>Sample Number</t>
  </si>
  <si>
    <t>Species Concentration Multiplier (Individuals/L)</t>
  </si>
  <si>
    <t>Pagurus</t>
  </si>
  <si>
    <t>Arrow Worm</t>
  </si>
  <si>
    <t>North Portage Canal</t>
  </si>
  <si>
    <t>South Portage Canal</t>
  </si>
  <si>
    <t>Oak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</si>
</sst>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2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14" fontId="1" fillId="0" borderId="0" xfId="0" applyNumberFormat="1" applyFont="1"/>
    <xf numFmtId="20" fontId="1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pane ySplit="1" topLeftCell="A2" activePane="bottomLeft" state="frozen"/>
      <selection pane="bottomLeft" activeCell="F380" sqref="F380"/>
    </sheetView>
  </sheetViews>
  <sheetFormatPr defaultColWidth="14.42578125" defaultRowHeight="15" customHeight="1" x14ac:dyDescent="0.25"/>
  <cols>
    <col min="1" max="1" width="8.28515625" customWidth="1"/>
    <col min="2" max="2" width="6.7109375" customWidth="1"/>
    <col min="3" max="3" width="24.42578125" customWidth="1"/>
    <col min="4" max="4" width="12.28515625" customWidth="1"/>
    <col min="5" max="5" width="8.5703125" customWidth="1"/>
    <col min="6" max="6" width="19.28515625" customWidth="1"/>
    <col min="7" max="7" width="16.42578125" customWidth="1"/>
    <col min="8" max="8" width="33" customWidth="1"/>
    <col min="9" max="9" width="17.42578125" customWidth="1"/>
    <col min="10" max="10" width="25" customWidth="1"/>
    <col min="11" max="11" width="8.7109375" customWidth="1"/>
    <col min="12" max="12" width="40.42578125" customWidth="1"/>
    <col min="13" max="13" width="39.42578125" customWidth="1"/>
    <col min="14" max="26" width="8.7109375" customWidth="1"/>
  </cols>
  <sheetData>
    <row r="1" spans="1:13" ht="14.25" customHeight="1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41</v>
      </c>
      <c r="M1" s="1" t="s">
        <v>44</v>
      </c>
    </row>
    <row r="2" spans="1:13" ht="14.25" customHeight="1" x14ac:dyDescent="0.25">
      <c r="A2" s="1">
        <v>1</v>
      </c>
      <c r="B2" s="1" t="s">
        <v>9</v>
      </c>
      <c r="C2" s="2" t="s">
        <v>47</v>
      </c>
      <c r="D2" s="3">
        <v>45546</v>
      </c>
      <c r="E2" s="4">
        <v>0.66597222222222219</v>
      </c>
      <c r="F2" s="1">
        <v>144.80000000000001</v>
      </c>
      <c r="G2" s="1">
        <v>1920</v>
      </c>
      <c r="H2" s="1">
        <v>13.26</v>
      </c>
      <c r="I2" s="1" t="s">
        <v>10</v>
      </c>
      <c r="J2" s="1" t="s">
        <v>11</v>
      </c>
      <c r="K2" s="1">
        <v>28</v>
      </c>
      <c r="L2">
        <f>(K2/F2)</f>
        <v>0.19337016574585633</v>
      </c>
      <c r="M2">
        <f>L2*1000</f>
        <v>193.37016574585633</v>
      </c>
    </row>
    <row r="3" spans="1:13" ht="14.25" customHeight="1" x14ac:dyDescent="0.25">
      <c r="A3" s="1">
        <v>1</v>
      </c>
      <c r="B3" s="1" t="s">
        <v>9</v>
      </c>
      <c r="C3" s="2" t="s">
        <v>47</v>
      </c>
      <c r="D3" s="3">
        <v>45546</v>
      </c>
      <c r="E3" s="4">
        <v>0.66597222222222219</v>
      </c>
      <c r="F3" s="1">
        <v>144.80000000000001</v>
      </c>
      <c r="G3" s="1">
        <v>1920</v>
      </c>
      <c r="H3" s="1">
        <v>13.26</v>
      </c>
      <c r="I3" s="1" t="s">
        <v>42</v>
      </c>
      <c r="J3" s="1" t="s">
        <v>12</v>
      </c>
      <c r="K3" s="1">
        <v>11</v>
      </c>
      <c r="L3">
        <f t="shared" ref="L3:L66" si="0">(K3/F3)</f>
        <v>7.5966850828729282E-2</v>
      </c>
      <c r="M3">
        <f>L3*1000</f>
        <v>75.966850828729278</v>
      </c>
    </row>
    <row r="4" spans="1:13" ht="14.25" customHeight="1" x14ac:dyDescent="0.25">
      <c r="A4" s="1">
        <v>1</v>
      </c>
      <c r="B4" s="1" t="s">
        <v>9</v>
      </c>
      <c r="C4" s="2" t="s">
        <v>47</v>
      </c>
      <c r="D4" s="3">
        <v>45546</v>
      </c>
      <c r="E4" s="4">
        <v>0.66597222222222219</v>
      </c>
      <c r="F4" s="1">
        <v>144.80000000000001</v>
      </c>
      <c r="G4" s="1">
        <v>1920</v>
      </c>
      <c r="H4" s="1">
        <v>13.26</v>
      </c>
      <c r="I4" s="1" t="s">
        <v>10</v>
      </c>
      <c r="J4" s="1" t="s">
        <v>13</v>
      </c>
      <c r="K4" s="1">
        <v>3</v>
      </c>
      <c r="L4">
        <f t="shared" si="0"/>
        <v>2.0718232044198894E-2</v>
      </c>
      <c r="M4">
        <f>L4*1000</f>
        <v>20.718232044198896</v>
      </c>
    </row>
    <row r="5" spans="1:13" ht="14.25" customHeight="1" x14ac:dyDescent="0.25">
      <c r="A5" s="1">
        <v>1</v>
      </c>
      <c r="B5" s="1" t="s">
        <v>9</v>
      </c>
      <c r="C5" s="2" t="s">
        <v>47</v>
      </c>
      <c r="D5" s="3">
        <v>45546</v>
      </c>
      <c r="E5" s="4">
        <v>0.66597222222222219</v>
      </c>
      <c r="F5" s="1">
        <v>144.80000000000001</v>
      </c>
      <c r="G5" s="1">
        <v>1920</v>
      </c>
      <c r="H5" s="1">
        <v>13.26</v>
      </c>
      <c r="I5" s="1" t="s">
        <v>14</v>
      </c>
      <c r="K5" s="1">
        <v>1</v>
      </c>
      <c r="L5">
        <f t="shared" si="0"/>
        <v>6.9060773480662981E-3</v>
      </c>
      <c r="M5">
        <f t="shared" ref="M5:M68" si="1">L5*1000</f>
        <v>6.9060773480662982</v>
      </c>
    </row>
    <row r="6" spans="1:13" ht="14.25" customHeight="1" x14ac:dyDescent="0.25">
      <c r="A6" s="1">
        <v>1</v>
      </c>
      <c r="B6" s="1" t="s">
        <v>9</v>
      </c>
      <c r="C6" s="2" t="s">
        <v>47</v>
      </c>
      <c r="D6" s="3">
        <v>45546</v>
      </c>
      <c r="E6" s="4">
        <v>0.66597222222222219</v>
      </c>
      <c r="F6" s="1">
        <v>144.80000000000001</v>
      </c>
      <c r="G6" s="1">
        <v>1920</v>
      </c>
      <c r="H6" s="1">
        <v>13.26</v>
      </c>
      <c r="I6" s="1" t="s">
        <v>15</v>
      </c>
      <c r="J6" s="1" t="s">
        <v>16</v>
      </c>
      <c r="K6" s="1">
        <v>1</v>
      </c>
      <c r="L6">
        <f t="shared" si="0"/>
        <v>6.9060773480662981E-3</v>
      </c>
      <c r="M6">
        <f t="shared" si="1"/>
        <v>6.9060773480662982</v>
      </c>
    </row>
    <row r="7" spans="1:13" ht="14.25" customHeight="1" x14ac:dyDescent="0.25">
      <c r="A7" s="1">
        <v>1</v>
      </c>
      <c r="B7" s="1" t="s">
        <v>9</v>
      </c>
      <c r="C7" s="2" t="s">
        <v>47</v>
      </c>
      <c r="D7" s="3">
        <v>45546</v>
      </c>
      <c r="E7" s="4">
        <v>0.66597222222222219</v>
      </c>
      <c r="F7" s="1">
        <v>144.80000000000001</v>
      </c>
      <c r="G7" s="1">
        <v>1920</v>
      </c>
      <c r="H7" s="1">
        <v>13.26</v>
      </c>
      <c r="I7" s="1" t="s">
        <v>42</v>
      </c>
      <c r="J7" s="1" t="s">
        <v>17</v>
      </c>
      <c r="K7" s="1">
        <v>2</v>
      </c>
      <c r="L7">
        <f t="shared" si="0"/>
        <v>1.3812154696132596E-2</v>
      </c>
      <c r="M7">
        <f t="shared" si="1"/>
        <v>13.812154696132596</v>
      </c>
    </row>
    <row r="8" spans="1:13" ht="14.25" customHeight="1" x14ac:dyDescent="0.25">
      <c r="A8" s="1">
        <v>1</v>
      </c>
      <c r="B8" s="1" t="s">
        <v>9</v>
      </c>
      <c r="C8" s="2" t="s">
        <v>47</v>
      </c>
      <c r="D8" s="3">
        <v>45546</v>
      </c>
      <c r="E8" s="4">
        <v>0.66597222222222219</v>
      </c>
      <c r="F8" s="1">
        <v>144.80000000000001</v>
      </c>
      <c r="G8" s="1">
        <v>1920</v>
      </c>
      <c r="H8" s="1">
        <v>13.26</v>
      </c>
      <c r="I8" s="1" t="s">
        <v>18</v>
      </c>
      <c r="K8" s="1">
        <v>2</v>
      </c>
      <c r="L8">
        <f t="shared" si="0"/>
        <v>1.3812154696132596E-2</v>
      </c>
      <c r="M8">
        <f t="shared" si="1"/>
        <v>13.812154696132596</v>
      </c>
    </row>
    <row r="9" spans="1:13" ht="14.25" customHeight="1" x14ac:dyDescent="0.25">
      <c r="A9" s="1">
        <v>2</v>
      </c>
      <c r="B9" s="1" t="s">
        <v>9</v>
      </c>
      <c r="C9" s="2" t="s">
        <v>47</v>
      </c>
      <c r="D9" s="3">
        <v>45546</v>
      </c>
      <c r="E9" s="4">
        <v>0.66597222222222197</v>
      </c>
      <c r="F9" s="1">
        <v>144.80000000000001</v>
      </c>
      <c r="G9" s="1">
        <v>1920</v>
      </c>
      <c r="H9" s="1">
        <v>16.3</v>
      </c>
      <c r="I9" s="1" t="s">
        <v>42</v>
      </c>
      <c r="J9" s="1" t="s">
        <v>12</v>
      </c>
      <c r="K9" s="1">
        <v>13</v>
      </c>
      <c r="L9">
        <f t="shared" si="0"/>
        <v>8.9779005524861871E-2</v>
      </c>
      <c r="M9">
        <f t="shared" si="1"/>
        <v>89.779005524861873</v>
      </c>
    </row>
    <row r="10" spans="1:13" ht="14.25" customHeight="1" x14ac:dyDescent="0.25">
      <c r="A10" s="1">
        <v>2</v>
      </c>
      <c r="B10" s="1" t="s">
        <v>9</v>
      </c>
      <c r="C10" s="2" t="s">
        <v>47</v>
      </c>
      <c r="D10" s="3">
        <v>45546</v>
      </c>
      <c r="E10" s="4">
        <v>0.66597222222222197</v>
      </c>
      <c r="F10" s="1">
        <v>144.80000000000001</v>
      </c>
      <c r="G10" s="1">
        <v>1920</v>
      </c>
      <c r="H10" s="1">
        <v>16.3</v>
      </c>
      <c r="I10" s="1" t="s">
        <v>18</v>
      </c>
      <c r="J10" s="1" t="s">
        <v>19</v>
      </c>
      <c r="K10" s="1">
        <v>4</v>
      </c>
      <c r="L10">
        <f t="shared" si="0"/>
        <v>2.7624309392265192E-2</v>
      </c>
      <c r="M10">
        <f t="shared" si="1"/>
        <v>27.624309392265193</v>
      </c>
    </row>
    <row r="11" spans="1:13" ht="14.25" customHeight="1" x14ac:dyDescent="0.25">
      <c r="A11" s="1">
        <v>2</v>
      </c>
      <c r="B11" s="1" t="s">
        <v>9</v>
      </c>
      <c r="C11" s="2" t="s">
        <v>47</v>
      </c>
      <c r="D11" s="3">
        <v>45546</v>
      </c>
      <c r="E11" s="4">
        <v>0.66597222222222197</v>
      </c>
      <c r="F11" s="1">
        <v>144.80000000000001</v>
      </c>
      <c r="G11" s="1">
        <v>1920</v>
      </c>
      <c r="H11" s="1">
        <v>16.3</v>
      </c>
      <c r="I11" s="1" t="s">
        <v>42</v>
      </c>
      <c r="J11" s="1" t="s">
        <v>17</v>
      </c>
      <c r="K11" s="1">
        <v>4</v>
      </c>
      <c r="L11">
        <f t="shared" si="0"/>
        <v>2.7624309392265192E-2</v>
      </c>
      <c r="M11">
        <f t="shared" si="1"/>
        <v>27.624309392265193</v>
      </c>
    </row>
    <row r="12" spans="1:13" ht="14.25" customHeight="1" x14ac:dyDescent="0.25">
      <c r="A12" s="1">
        <v>2</v>
      </c>
      <c r="B12" s="1" t="s">
        <v>9</v>
      </c>
      <c r="C12" s="2" t="s">
        <v>47</v>
      </c>
      <c r="D12" s="3">
        <v>45546</v>
      </c>
      <c r="E12" s="4">
        <v>0.66597222222222197</v>
      </c>
      <c r="F12" s="1">
        <v>144.80000000000001</v>
      </c>
      <c r="G12" s="1">
        <v>1920</v>
      </c>
      <c r="H12" s="1">
        <v>16.3</v>
      </c>
      <c r="I12" s="1" t="s">
        <v>10</v>
      </c>
      <c r="J12" s="1" t="s">
        <v>11</v>
      </c>
      <c r="K12" s="1">
        <v>31</v>
      </c>
      <c r="L12">
        <f t="shared" si="0"/>
        <v>0.21408839779005523</v>
      </c>
      <c r="M12">
        <f t="shared" si="1"/>
        <v>214.08839779005524</v>
      </c>
    </row>
    <row r="13" spans="1:13" ht="14.25" customHeight="1" x14ac:dyDescent="0.25">
      <c r="A13" s="1">
        <v>2</v>
      </c>
      <c r="B13" s="1" t="s">
        <v>9</v>
      </c>
      <c r="C13" s="2" t="s">
        <v>47</v>
      </c>
      <c r="D13" s="3">
        <v>45546</v>
      </c>
      <c r="E13" s="4">
        <v>0.66597222222222197</v>
      </c>
      <c r="F13" s="1">
        <v>144.80000000000001</v>
      </c>
      <c r="G13" s="1">
        <v>1920</v>
      </c>
      <c r="H13" s="1">
        <v>16.3</v>
      </c>
      <c r="I13" s="1" t="s">
        <v>15</v>
      </c>
      <c r="J13" s="1" t="s">
        <v>16</v>
      </c>
      <c r="K13" s="1">
        <v>1</v>
      </c>
      <c r="L13">
        <f t="shared" si="0"/>
        <v>6.9060773480662981E-3</v>
      </c>
      <c r="M13">
        <f t="shared" si="1"/>
        <v>6.9060773480662982</v>
      </c>
    </row>
    <row r="14" spans="1:13" ht="14.25" customHeight="1" x14ac:dyDescent="0.25">
      <c r="A14" s="1">
        <v>2</v>
      </c>
      <c r="B14" s="1" t="s">
        <v>9</v>
      </c>
      <c r="C14" s="2" t="s">
        <v>47</v>
      </c>
      <c r="D14" s="3">
        <v>45546</v>
      </c>
      <c r="E14" s="4">
        <v>0.66597222222222197</v>
      </c>
      <c r="F14" s="1">
        <v>144.80000000000001</v>
      </c>
      <c r="G14" s="1">
        <v>1920</v>
      </c>
      <c r="H14" s="1">
        <v>16.3</v>
      </c>
      <c r="I14" s="1" t="s">
        <v>20</v>
      </c>
      <c r="K14" s="1">
        <v>1</v>
      </c>
      <c r="L14">
        <f t="shared" si="0"/>
        <v>6.9060773480662981E-3</v>
      </c>
      <c r="M14">
        <f t="shared" si="1"/>
        <v>6.9060773480662982</v>
      </c>
    </row>
    <row r="15" spans="1:13" ht="14.25" customHeight="1" x14ac:dyDescent="0.25">
      <c r="A15" s="1">
        <v>2</v>
      </c>
      <c r="B15" s="1" t="s">
        <v>9</v>
      </c>
      <c r="C15" s="2" t="s">
        <v>47</v>
      </c>
      <c r="D15" s="3">
        <v>45546</v>
      </c>
      <c r="E15" s="4">
        <v>0.66597222222222197</v>
      </c>
      <c r="F15" s="1">
        <v>144.80000000000001</v>
      </c>
      <c r="G15" s="1">
        <v>1920</v>
      </c>
      <c r="H15" s="1">
        <v>16.3</v>
      </c>
      <c r="I15" s="1" t="s">
        <v>14</v>
      </c>
      <c r="K15" s="1">
        <v>3</v>
      </c>
      <c r="L15">
        <f t="shared" si="0"/>
        <v>2.0718232044198894E-2</v>
      </c>
      <c r="M15">
        <f t="shared" si="1"/>
        <v>20.718232044198896</v>
      </c>
    </row>
    <row r="16" spans="1:13" ht="14.25" customHeight="1" x14ac:dyDescent="0.25">
      <c r="A16" s="1">
        <v>2</v>
      </c>
      <c r="B16" s="1" t="s">
        <v>9</v>
      </c>
      <c r="C16" s="2" t="s">
        <v>47</v>
      </c>
      <c r="D16" s="3">
        <v>45546</v>
      </c>
      <c r="E16" s="4">
        <v>0.66597222222222197</v>
      </c>
      <c r="F16" s="1">
        <v>144.80000000000001</v>
      </c>
      <c r="G16" s="1">
        <v>1920</v>
      </c>
      <c r="H16" s="1">
        <v>16.3</v>
      </c>
      <c r="I16" s="1" t="s">
        <v>42</v>
      </c>
      <c r="J16" s="1" t="s">
        <v>21</v>
      </c>
      <c r="K16" s="1">
        <v>1</v>
      </c>
      <c r="L16">
        <f t="shared" si="0"/>
        <v>6.9060773480662981E-3</v>
      </c>
      <c r="M16">
        <f t="shared" si="1"/>
        <v>6.9060773480662982</v>
      </c>
    </row>
    <row r="17" spans="1:13" ht="14.25" customHeight="1" x14ac:dyDescent="0.25">
      <c r="A17" s="1">
        <v>2</v>
      </c>
      <c r="B17" s="1" t="s">
        <v>9</v>
      </c>
      <c r="C17" s="2" t="s">
        <v>47</v>
      </c>
      <c r="D17" s="3">
        <v>45546</v>
      </c>
      <c r="E17" s="4">
        <v>0.66597222222222197</v>
      </c>
      <c r="F17" s="1">
        <v>144.80000000000001</v>
      </c>
      <c r="G17" s="1">
        <v>1920</v>
      </c>
      <c r="H17" s="1">
        <v>16.3</v>
      </c>
      <c r="I17" s="1" t="s">
        <v>10</v>
      </c>
      <c r="J17" s="1" t="s">
        <v>22</v>
      </c>
      <c r="K17" s="1">
        <v>1</v>
      </c>
      <c r="L17">
        <f t="shared" si="0"/>
        <v>6.9060773480662981E-3</v>
      </c>
      <c r="M17">
        <f t="shared" si="1"/>
        <v>6.9060773480662982</v>
      </c>
    </row>
    <row r="18" spans="1:13" ht="14.25" customHeight="1" x14ac:dyDescent="0.25">
      <c r="A18" s="1">
        <v>3</v>
      </c>
      <c r="B18" s="1" t="s">
        <v>9</v>
      </c>
      <c r="C18" s="2" t="s">
        <v>47</v>
      </c>
      <c r="D18" s="3">
        <v>45546</v>
      </c>
      <c r="E18" s="4">
        <v>0.66597222222222197</v>
      </c>
      <c r="F18" s="1">
        <v>144.80000000000001</v>
      </c>
      <c r="G18" s="1">
        <v>2360</v>
      </c>
      <c r="H18" s="1">
        <v>12.7</v>
      </c>
      <c r="I18" s="1" t="s">
        <v>42</v>
      </c>
      <c r="J18" s="1" t="s">
        <v>12</v>
      </c>
      <c r="K18" s="1">
        <v>18</v>
      </c>
      <c r="L18">
        <f t="shared" si="0"/>
        <v>0.12430939226519336</v>
      </c>
      <c r="M18">
        <f t="shared" si="1"/>
        <v>124.30939226519335</v>
      </c>
    </row>
    <row r="19" spans="1:13" ht="14.25" customHeight="1" x14ac:dyDescent="0.25">
      <c r="A19" s="1">
        <v>3</v>
      </c>
      <c r="B19" s="1" t="s">
        <v>9</v>
      </c>
      <c r="C19" s="2" t="s">
        <v>47</v>
      </c>
      <c r="D19" s="3">
        <v>45546</v>
      </c>
      <c r="E19" s="4">
        <v>0.66597222222222197</v>
      </c>
      <c r="F19" s="1">
        <v>144.80000000000001</v>
      </c>
      <c r="G19" s="1">
        <v>2360</v>
      </c>
      <c r="H19" s="1">
        <v>12.7</v>
      </c>
      <c r="I19" s="1" t="s">
        <v>18</v>
      </c>
      <c r="J19" s="1" t="s">
        <v>19</v>
      </c>
      <c r="K19" s="1">
        <v>2</v>
      </c>
      <c r="L19">
        <f t="shared" si="0"/>
        <v>1.3812154696132596E-2</v>
      </c>
      <c r="M19">
        <f t="shared" si="1"/>
        <v>13.812154696132596</v>
      </c>
    </row>
    <row r="20" spans="1:13" ht="14.25" customHeight="1" x14ac:dyDescent="0.25">
      <c r="A20" s="1">
        <v>3</v>
      </c>
      <c r="B20" s="1" t="s">
        <v>9</v>
      </c>
      <c r="C20" s="2" t="s">
        <v>47</v>
      </c>
      <c r="D20" s="3">
        <v>45546</v>
      </c>
      <c r="E20" s="4">
        <v>0.66597222222222197</v>
      </c>
      <c r="F20" s="1">
        <v>144.80000000000001</v>
      </c>
      <c r="G20" s="1">
        <v>2360</v>
      </c>
      <c r="H20" s="1">
        <v>12.7</v>
      </c>
      <c r="I20" s="1" t="s">
        <v>10</v>
      </c>
      <c r="J20" s="1" t="s">
        <v>11</v>
      </c>
      <c r="K20" s="1">
        <v>18</v>
      </c>
      <c r="L20">
        <f t="shared" si="0"/>
        <v>0.12430939226519336</v>
      </c>
      <c r="M20">
        <f t="shared" si="1"/>
        <v>124.30939226519335</v>
      </c>
    </row>
    <row r="21" spans="1:13" ht="14.25" customHeight="1" x14ac:dyDescent="0.25">
      <c r="A21" s="1">
        <v>3</v>
      </c>
      <c r="B21" s="1" t="s">
        <v>9</v>
      </c>
      <c r="C21" s="2" t="s">
        <v>47</v>
      </c>
      <c r="D21" s="3">
        <v>45546</v>
      </c>
      <c r="E21" s="4">
        <v>0.66597222222222197</v>
      </c>
      <c r="F21" s="1">
        <v>144.80000000000001</v>
      </c>
      <c r="G21" s="1">
        <v>2360</v>
      </c>
      <c r="H21" s="1">
        <v>12.7</v>
      </c>
      <c r="I21" s="1" t="s">
        <v>10</v>
      </c>
      <c r="J21" s="1" t="s">
        <v>13</v>
      </c>
      <c r="K21" s="1">
        <v>3</v>
      </c>
      <c r="L21">
        <f t="shared" si="0"/>
        <v>2.0718232044198894E-2</v>
      </c>
      <c r="M21">
        <f t="shared" si="1"/>
        <v>20.718232044198896</v>
      </c>
    </row>
    <row r="22" spans="1:13" ht="14.25" customHeight="1" x14ac:dyDescent="0.25">
      <c r="A22" s="1">
        <v>3</v>
      </c>
      <c r="B22" s="1" t="s">
        <v>9</v>
      </c>
      <c r="C22" s="2" t="s">
        <v>47</v>
      </c>
      <c r="D22" s="3">
        <v>45546</v>
      </c>
      <c r="E22" s="4">
        <v>0.66597222222222197</v>
      </c>
      <c r="F22" s="1">
        <v>144.80000000000001</v>
      </c>
      <c r="G22" s="1">
        <v>2360</v>
      </c>
      <c r="H22" s="1">
        <v>12.7</v>
      </c>
      <c r="I22" s="1" t="s">
        <v>42</v>
      </c>
      <c r="J22" s="1" t="s">
        <v>17</v>
      </c>
      <c r="K22" s="1">
        <v>3</v>
      </c>
      <c r="L22">
        <f t="shared" si="0"/>
        <v>2.0718232044198894E-2</v>
      </c>
      <c r="M22">
        <f t="shared" si="1"/>
        <v>20.718232044198896</v>
      </c>
    </row>
    <row r="23" spans="1:13" ht="14.25" customHeight="1" x14ac:dyDescent="0.25">
      <c r="A23" s="1">
        <v>3</v>
      </c>
      <c r="B23" s="1" t="s">
        <v>9</v>
      </c>
      <c r="C23" s="2" t="s">
        <v>47</v>
      </c>
      <c r="D23" s="3">
        <v>45546</v>
      </c>
      <c r="E23" s="4">
        <v>0.66597222222222197</v>
      </c>
      <c r="F23" s="1">
        <v>144.80000000000001</v>
      </c>
      <c r="G23" s="1">
        <v>2360</v>
      </c>
      <c r="H23" s="1">
        <v>12.7</v>
      </c>
      <c r="I23" s="1" t="s">
        <v>15</v>
      </c>
      <c r="J23" s="1" t="s">
        <v>16</v>
      </c>
      <c r="K23" s="1">
        <v>1</v>
      </c>
      <c r="L23">
        <f t="shared" si="0"/>
        <v>6.9060773480662981E-3</v>
      </c>
      <c r="M23">
        <f t="shared" si="1"/>
        <v>6.9060773480662982</v>
      </c>
    </row>
    <row r="24" spans="1:13" ht="14.25" customHeight="1" x14ac:dyDescent="0.25">
      <c r="A24" s="1">
        <v>3</v>
      </c>
      <c r="B24" s="1" t="s">
        <v>9</v>
      </c>
      <c r="C24" s="2" t="s">
        <v>47</v>
      </c>
      <c r="D24" s="3">
        <v>45546</v>
      </c>
      <c r="E24" s="4">
        <v>0.66597222222222197</v>
      </c>
      <c r="F24" s="1">
        <v>144.80000000000001</v>
      </c>
      <c r="G24" s="1">
        <v>2360</v>
      </c>
      <c r="H24" s="1">
        <v>12.7</v>
      </c>
      <c r="I24" s="1" t="s">
        <v>15</v>
      </c>
      <c r="K24" s="1">
        <v>1</v>
      </c>
      <c r="L24">
        <f t="shared" si="0"/>
        <v>6.9060773480662981E-3</v>
      </c>
      <c r="M24">
        <f t="shared" si="1"/>
        <v>6.9060773480662982</v>
      </c>
    </row>
    <row r="25" spans="1:13" ht="14.25" customHeight="1" x14ac:dyDescent="0.25">
      <c r="A25" s="1">
        <v>1</v>
      </c>
      <c r="B25" s="1" t="s">
        <v>9</v>
      </c>
      <c r="C25" s="2" t="s">
        <v>47</v>
      </c>
      <c r="D25" s="3">
        <v>45574</v>
      </c>
      <c r="E25" s="4">
        <v>0.53402777777777777</v>
      </c>
      <c r="F25" s="1">
        <v>125.66</v>
      </c>
      <c r="G25" s="1">
        <v>3680</v>
      </c>
      <c r="H25" s="1">
        <v>29.3</v>
      </c>
      <c r="I25" s="1" t="s">
        <v>20</v>
      </c>
      <c r="K25" s="1">
        <v>9</v>
      </c>
      <c r="L25">
        <f t="shared" si="0"/>
        <v>7.1621836702212324E-2</v>
      </c>
      <c r="M25">
        <f t="shared" si="1"/>
        <v>71.62183670221232</v>
      </c>
    </row>
    <row r="26" spans="1:13" ht="14.25" customHeight="1" x14ac:dyDescent="0.25">
      <c r="A26" s="1">
        <v>1</v>
      </c>
      <c r="B26" s="1" t="s">
        <v>9</v>
      </c>
      <c r="C26" s="2" t="s">
        <v>47</v>
      </c>
      <c r="D26" s="3">
        <v>45574</v>
      </c>
      <c r="E26" s="4">
        <v>0.53402777777777777</v>
      </c>
      <c r="F26" s="1">
        <v>125.66</v>
      </c>
      <c r="G26" s="1">
        <v>3680</v>
      </c>
      <c r="H26" s="1">
        <v>29.3</v>
      </c>
      <c r="I26" s="1" t="s">
        <v>10</v>
      </c>
      <c r="J26" s="1" t="s">
        <v>13</v>
      </c>
      <c r="K26" s="1">
        <v>2</v>
      </c>
      <c r="L26">
        <f t="shared" si="0"/>
        <v>1.5915963711602737E-2</v>
      </c>
      <c r="M26">
        <f t="shared" si="1"/>
        <v>15.915963711602737</v>
      </c>
    </row>
    <row r="27" spans="1:13" ht="14.25" customHeight="1" x14ac:dyDescent="0.25">
      <c r="A27" s="1">
        <v>1</v>
      </c>
      <c r="B27" s="1" t="s">
        <v>9</v>
      </c>
      <c r="C27" s="2" t="s">
        <v>47</v>
      </c>
      <c r="D27" s="3">
        <v>45574</v>
      </c>
      <c r="E27" s="4">
        <v>0.53402777777777777</v>
      </c>
      <c r="F27" s="1">
        <v>125.66</v>
      </c>
      <c r="G27" s="1">
        <v>3680</v>
      </c>
      <c r="H27" s="1">
        <v>29.3</v>
      </c>
      <c r="I27" s="1" t="s">
        <v>15</v>
      </c>
      <c r="K27" s="1">
        <v>24</v>
      </c>
      <c r="L27">
        <f t="shared" si="0"/>
        <v>0.19099156453923286</v>
      </c>
      <c r="M27">
        <f t="shared" si="1"/>
        <v>190.99156453923285</v>
      </c>
    </row>
    <row r="28" spans="1:13" ht="14.25" customHeight="1" x14ac:dyDescent="0.25">
      <c r="A28" s="1">
        <v>1</v>
      </c>
      <c r="B28" s="1" t="s">
        <v>9</v>
      </c>
      <c r="C28" s="2" t="s">
        <v>47</v>
      </c>
      <c r="D28" s="3">
        <v>45574</v>
      </c>
      <c r="E28" s="4">
        <v>0.53402777777777777</v>
      </c>
      <c r="F28" s="1">
        <v>125.66</v>
      </c>
      <c r="G28" s="1">
        <v>3680</v>
      </c>
      <c r="H28" s="1">
        <v>29.3</v>
      </c>
      <c r="I28" s="1" t="s">
        <v>42</v>
      </c>
      <c r="J28" s="1" t="s">
        <v>12</v>
      </c>
      <c r="K28" s="1">
        <v>3</v>
      </c>
      <c r="L28">
        <f t="shared" si="0"/>
        <v>2.3873945567404107E-2</v>
      </c>
      <c r="M28">
        <f t="shared" si="1"/>
        <v>23.873945567404107</v>
      </c>
    </row>
    <row r="29" spans="1:13" ht="14.25" customHeight="1" x14ac:dyDescent="0.25">
      <c r="A29" s="1">
        <v>1</v>
      </c>
      <c r="B29" s="1" t="s">
        <v>9</v>
      </c>
      <c r="C29" s="2" t="s">
        <v>47</v>
      </c>
      <c r="D29" s="3">
        <v>45574</v>
      </c>
      <c r="E29" s="4">
        <v>0.53402777777777799</v>
      </c>
      <c r="F29" s="1">
        <v>125.66</v>
      </c>
      <c r="G29" s="1">
        <v>3680</v>
      </c>
      <c r="H29" s="1">
        <v>29.3</v>
      </c>
      <c r="I29" s="1" t="s">
        <v>10</v>
      </c>
      <c r="J29" s="1" t="s">
        <v>11</v>
      </c>
      <c r="K29" s="1">
        <v>1</v>
      </c>
      <c r="L29">
        <f t="shared" si="0"/>
        <v>7.9579818558013684E-3</v>
      </c>
      <c r="M29">
        <f t="shared" si="1"/>
        <v>7.9579818558013686</v>
      </c>
    </row>
    <row r="30" spans="1:13" ht="14.25" customHeight="1" x14ac:dyDescent="0.25">
      <c r="A30" s="1">
        <v>1</v>
      </c>
      <c r="B30" s="1" t="s">
        <v>9</v>
      </c>
      <c r="C30" s="2" t="s">
        <v>47</v>
      </c>
      <c r="D30" s="3">
        <v>45574</v>
      </c>
      <c r="E30" s="4">
        <v>0.53402777777777799</v>
      </c>
      <c r="F30" s="1">
        <v>125.66</v>
      </c>
      <c r="G30" s="1">
        <v>3680</v>
      </c>
      <c r="H30" s="1">
        <v>29.3</v>
      </c>
      <c r="I30" s="1" t="s">
        <v>42</v>
      </c>
      <c r="J30" s="1" t="s">
        <v>21</v>
      </c>
      <c r="K30" s="1">
        <v>6</v>
      </c>
      <c r="L30">
        <f t="shared" si="0"/>
        <v>4.7747891134808214E-2</v>
      </c>
      <c r="M30">
        <f t="shared" si="1"/>
        <v>47.747891134808214</v>
      </c>
    </row>
    <row r="31" spans="1:13" ht="14.25" customHeight="1" x14ac:dyDescent="0.25">
      <c r="A31" s="1">
        <v>1</v>
      </c>
      <c r="B31" s="1" t="s">
        <v>9</v>
      </c>
      <c r="C31" s="2" t="s">
        <v>47</v>
      </c>
      <c r="D31" s="3">
        <v>45574</v>
      </c>
      <c r="E31" s="4">
        <v>0.53402777777777799</v>
      </c>
      <c r="F31" s="1">
        <v>125.66</v>
      </c>
      <c r="G31" s="1">
        <v>3680</v>
      </c>
      <c r="H31" s="1">
        <v>29.3</v>
      </c>
      <c r="I31" s="1" t="s">
        <v>18</v>
      </c>
      <c r="K31" s="1">
        <v>1</v>
      </c>
      <c r="L31">
        <f t="shared" si="0"/>
        <v>7.9579818558013684E-3</v>
      </c>
      <c r="M31">
        <f t="shared" si="1"/>
        <v>7.9579818558013686</v>
      </c>
    </row>
    <row r="32" spans="1:13" ht="14.25" customHeight="1" x14ac:dyDescent="0.25">
      <c r="A32" s="1">
        <v>1</v>
      </c>
      <c r="B32" s="1" t="s">
        <v>9</v>
      </c>
      <c r="C32" s="2" t="s">
        <v>47</v>
      </c>
      <c r="D32" s="3">
        <v>45574</v>
      </c>
      <c r="E32" s="4">
        <v>0.53402777777777799</v>
      </c>
      <c r="F32" s="1">
        <v>125.66</v>
      </c>
      <c r="G32" s="1">
        <v>3680</v>
      </c>
      <c r="H32" s="1">
        <v>29.3</v>
      </c>
      <c r="I32" s="1" t="s">
        <v>42</v>
      </c>
      <c r="J32" s="1" t="s">
        <v>17</v>
      </c>
      <c r="K32" s="1">
        <v>1</v>
      </c>
      <c r="L32">
        <f t="shared" si="0"/>
        <v>7.9579818558013684E-3</v>
      </c>
      <c r="M32">
        <f t="shared" si="1"/>
        <v>7.9579818558013686</v>
      </c>
    </row>
    <row r="33" spans="1:13" ht="14.25" customHeight="1" x14ac:dyDescent="0.25">
      <c r="A33" s="1">
        <v>2</v>
      </c>
      <c r="B33" s="1" t="s">
        <v>9</v>
      </c>
      <c r="C33" s="2" t="s">
        <v>47</v>
      </c>
      <c r="D33" s="3">
        <v>45574</v>
      </c>
      <c r="E33" s="4">
        <v>0.53402777777777799</v>
      </c>
      <c r="F33" s="1">
        <v>125.66</v>
      </c>
      <c r="G33" s="1">
        <v>4000</v>
      </c>
      <c r="H33" s="1">
        <v>31.8</v>
      </c>
      <c r="I33" s="1" t="s">
        <v>15</v>
      </c>
      <c r="K33" s="1">
        <v>32</v>
      </c>
      <c r="L33">
        <f t="shared" si="0"/>
        <v>0.25465541938564379</v>
      </c>
      <c r="M33">
        <f t="shared" si="1"/>
        <v>254.6554193856438</v>
      </c>
    </row>
    <row r="34" spans="1:13" ht="14.25" customHeight="1" x14ac:dyDescent="0.25">
      <c r="A34" s="1">
        <v>2</v>
      </c>
      <c r="B34" s="1" t="s">
        <v>9</v>
      </c>
      <c r="C34" s="2" t="s">
        <v>47</v>
      </c>
      <c r="D34" s="3">
        <v>45574</v>
      </c>
      <c r="E34" s="4">
        <v>0.53402777777777799</v>
      </c>
      <c r="F34" s="1">
        <v>125.66</v>
      </c>
      <c r="G34" s="1">
        <v>4000</v>
      </c>
      <c r="H34" s="1">
        <v>31.8</v>
      </c>
      <c r="I34" s="1" t="s">
        <v>20</v>
      </c>
      <c r="K34" s="1">
        <v>9</v>
      </c>
      <c r="L34">
        <f t="shared" si="0"/>
        <v>7.1621836702212324E-2</v>
      </c>
      <c r="M34">
        <f t="shared" si="1"/>
        <v>71.62183670221232</v>
      </c>
    </row>
    <row r="35" spans="1:13" ht="14.25" customHeight="1" x14ac:dyDescent="0.25">
      <c r="A35" s="1">
        <v>2</v>
      </c>
      <c r="B35" s="1" t="s">
        <v>9</v>
      </c>
      <c r="C35" s="2" t="s">
        <v>47</v>
      </c>
      <c r="D35" s="3">
        <v>45574</v>
      </c>
      <c r="E35" s="4">
        <v>0.53402777777777799</v>
      </c>
      <c r="F35" s="1">
        <v>125.66</v>
      </c>
      <c r="G35" s="1">
        <v>4000</v>
      </c>
      <c r="H35" s="1">
        <v>31.8</v>
      </c>
      <c r="I35" s="1" t="s">
        <v>42</v>
      </c>
      <c r="J35" s="1" t="s">
        <v>21</v>
      </c>
      <c r="K35" s="1">
        <v>7</v>
      </c>
      <c r="L35">
        <f t="shared" si="0"/>
        <v>5.5705872990609584E-2</v>
      </c>
      <c r="M35">
        <f t="shared" si="1"/>
        <v>55.705872990609585</v>
      </c>
    </row>
    <row r="36" spans="1:13" ht="14.25" customHeight="1" x14ac:dyDescent="0.25">
      <c r="A36" s="1">
        <v>2</v>
      </c>
      <c r="B36" s="1" t="s">
        <v>9</v>
      </c>
      <c r="C36" s="2" t="s">
        <v>47</v>
      </c>
      <c r="D36" s="3">
        <v>45574</v>
      </c>
      <c r="E36" s="4">
        <v>0.53402777777777799</v>
      </c>
      <c r="F36" s="1">
        <v>125.66</v>
      </c>
      <c r="G36" s="1">
        <v>4000</v>
      </c>
      <c r="H36" s="1">
        <v>31.8</v>
      </c>
      <c r="I36" s="1" t="s">
        <v>10</v>
      </c>
      <c r="J36" s="1" t="s">
        <v>11</v>
      </c>
      <c r="K36" s="1">
        <v>2</v>
      </c>
      <c r="L36">
        <f t="shared" si="0"/>
        <v>1.5915963711602737E-2</v>
      </c>
      <c r="M36">
        <f t="shared" si="1"/>
        <v>15.915963711602737</v>
      </c>
    </row>
    <row r="37" spans="1:13" ht="14.25" customHeight="1" x14ac:dyDescent="0.25">
      <c r="A37" s="1">
        <v>3</v>
      </c>
      <c r="B37" s="1" t="s">
        <v>9</v>
      </c>
      <c r="C37" s="2" t="s">
        <v>47</v>
      </c>
      <c r="D37" s="3">
        <v>45574</v>
      </c>
      <c r="E37" s="4">
        <v>0.53402777777777799</v>
      </c>
      <c r="F37" s="1">
        <v>125.66</v>
      </c>
      <c r="G37" s="1">
        <v>4560</v>
      </c>
      <c r="H37" s="1">
        <v>36.299999999999997</v>
      </c>
      <c r="I37" s="1" t="s">
        <v>15</v>
      </c>
      <c r="K37" s="1">
        <v>29</v>
      </c>
      <c r="L37">
        <f t="shared" si="0"/>
        <v>0.23078147381823971</v>
      </c>
      <c r="M37">
        <f t="shared" si="1"/>
        <v>230.7814738182397</v>
      </c>
    </row>
    <row r="38" spans="1:13" ht="14.25" customHeight="1" x14ac:dyDescent="0.25">
      <c r="A38" s="1">
        <v>3</v>
      </c>
      <c r="B38" s="1" t="s">
        <v>9</v>
      </c>
      <c r="C38" s="2" t="s">
        <v>47</v>
      </c>
      <c r="D38" s="3">
        <v>45574</v>
      </c>
      <c r="E38" s="4">
        <v>0.53402777777777799</v>
      </c>
      <c r="F38" s="1">
        <v>125.66</v>
      </c>
      <c r="G38" s="1">
        <v>4560</v>
      </c>
      <c r="H38" s="1">
        <v>36.299999999999997</v>
      </c>
      <c r="I38" s="1" t="s">
        <v>20</v>
      </c>
      <c r="K38" s="1">
        <v>10</v>
      </c>
      <c r="L38">
        <f t="shared" si="0"/>
        <v>7.9579818558013687E-2</v>
      </c>
      <c r="M38">
        <f t="shared" si="1"/>
        <v>79.579818558013685</v>
      </c>
    </row>
    <row r="39" spans="1:13" ht="14.25" customHeight="1" x14ac:dyDescent="0.25">
      <c r="A39" s="1">
        <v>3</v>
      </c>
      <c r="B39" s="1" t="s">
        <v>9</v>
      </c>
      <c r="C39" s="2" t="s">
        <v>47</v>
      </c>
      <c r="D39" s="3">
        <v>45574</v>
      </c>
      <c r="E39" s="4">
        <v>0.53402777777777799</v>
      </c>
      <c r="F39" s="1">
        <v>125.66</v>
      </c>
      <c r="G39" s="1">
        <v>4560</v>
      </c>
      <c r="H39" s="1">
        <v>36.299999999999997</v>
      </c>
      <c r="I39" s="1" t="s">
        <v>42</v>
      </c>
      <c r="J39" s="1" t="s">
        <v>21</v>
      </c>
      <c r="K39" s="1">
        <v>5</v>
      </c>
      <c r="L39">
        <f t="shared" si="0"/>
        <v>3.9789909279006844E-2</v>
      </c>
      <c r="M39">
        <f t="shared" si="1"/>
        <v>39.789909279006842</v>
      </c>
    </row>
    <row r="40" spans="1:13" ht="14.25" customHeight="1" x14ac:dyDescent="0.25">
      <c r="A40" s="1">
        <v>3</v>
      </c>
      <c r="B40" s="1" t="s">
        <v>9</v>
      </c>
      <c r="C40" s="2" t="s">
        <v>47</v>
      </c>
      <c r="D40" s="3">
        <v>45574</v>
      </c>
      <c r="E40" s="4">
        <v>0.53402777777777799</v>
      </c>
      <c r="F40" s="1">
        <v>125.66</v>
      </c>
      <c r="G40" s="1">
        <v>4560</v>
      </c>
      <c r="H40" s="1">
        <v>36.299999999999997</v>
      </c>
      <c r="I40" s="1" t="s">
        <v>10</v>
      </c>
      <c r="J40" s="1" t="s">
        <v>13</v>
      </c>
      <c r="K40" s="1">
        <v>3</v>
      </c>
      <c r="L40">
        <f t="shared" si="0"/>
        <v>2.3873945567404107E-2</v>
      </c>
      <c r="M40">
        <f t="shared" si="1"/>
        <v>23.873945567404107</v>
      </c>
    </row>
    <row r="41" spans="1:13" ht="14.25" customHeight="1" x14ac:dyDescent="0.25">
      <c r="A41" s="1">
        <v>3</v>
      </c>
      <c r="B41" s="1" t="s">
        <v>9</v>
      </c>
      <c r="C41" s="2" t="s">
        <v>47</v>
      </c>
      <c r="D41" s="3">
        <v>45574</v>
      </c>
      <c r="E41" s="4">
        <v>0.53402777777777799</v>
      </c>
      <c r="F41" s="1">
        <v>125.66</v>
      </c>
      <c r="G41" s="1">
        <v>4560</v>
      </c>
      <c r="H41" s="1">
        <v>36.299999999999997</v>
      </c>
      <c r="I41" s="1" t="s">
        <v>10</v>
      </c>
      <c r="J41" s="1" t="s">
        <v>11</v>
      </c>
      <c r="K41" s="1">
        <v>7</v>
      </c>
      <c r="L41">
        <f t="shared" si="0"/>
        <v>5.5705872990609584E-2</v>
      </c>
      <c r="M41">
        <f t="shared" si="1"/>
        <v>55.705872990609585</v>
      </c>
    </row>
    <row r="42" spans="1:13" ht="14.25" customHeight="1" x14ac:dyDescent="0.25">
      <c r="A42" s="1">
        <v>3</v>
      </c>
      <c r="B42" s="1" t="s">
        <v>9</v>
      </c>
      <c r="C42" s="2" t="s">
        <v>47</v>
      </c>
      <c r="D42" s="3">
        <v>45574</v>
      </c>
      <c r="E42" s="4">
        <v>0.53402777777777799</v>
      </c>
      <c r="F42" s="1">
        <v>125.66</v>
      </c>
      <c r="G42" s="1">
        <v>4560</v>
      </c>
      <c r="H42" s="1">
        <v>36.299999999999997</v>
      </c>
      <c r="I42" s="1" t="s">
        <v>23</v>
      </c>
      <c r="K42" s="1">
        <v>1</v>
      </c>
      <c r="L42">
        <f t="shared" si="0"/>
        <v>7.9579818558013684E-3</v>
      </c>
      <c r="M42">
        <f t="shared" si="1"/>
        <v>7.9579818558013686</v>
      </c>
    </row>
    <row r="43" spans="1:13" ht="14.25" customHeight="1" x14ac:dyDescent="0.25">
      <c r="A43" s="1">
        <v>3</v>
      </c>
      <c r="B43" s="1" t="s">
        <v>9</v>
      </c>
      <c r="C43" s="2" t="s">
        <v>47</v>
      </c>
      <c r="D43" s="3">
        <v>45574</v>
      </c>
      <c r="E43" s="4">
        <v>0.53402777777777799</v>
      </c>
      <c r="F43" s="1">
        <v>125.66</v>
      </c>
      <c r="G43" s="1">
        <v>4560</v>
      </c>
      <c r="H43" s="1">
        <v>36.299999999999997</v>
      </c>
      <c r="I43" s="1" t="s">
        <v>18</v>
      </c>
      <c r="K43" s="1">
        <v>2</v>
      </c>
      <c r="L43">
        <f t="shared" si="0"/>
        <v>1.5915963711602737E-2</v>
      </c>
      <c r="M43">
        <f t="shared" si="1"/>
        <v>15.915963711602737</v>
      </c>
    </row>
    <row r="44" spans="1:13" ht="14.25" customHeight="1" x14ac:dyDescent="0.25">
      <c r="A44" s="1">
        <v>1</v>
      </c>
      <c r="B44" s="1" t="s">
        <v>9</v>
      </c>
      <c r="C44" s="2" t="s">
        <v>47</v>
      </c>
      <c r="D44" s="3">
        <v>45498</v>
      </c>
      <c r="E44" s="7">
        <v>0.52013888888888893</v>
      </c>
      <c r="F44" s="1">
        <v>128.69999999999999</v>
      </c>
      <c r="G44" s="1">
        <v>7200</v>
      </c>
      <c r="H44" s="1">
        <v>55.9</v>
      </c>
      <c r="I44" s="1" t="s">
        <v>10</v>
      </c>
      <c r="J44" s="1" t="s">
        <v>11</v>
      </c>
      <c r="K44" s="1">
        <v>17</v>
      </c>
      <c r="L44">
        <f t="shared" si="0"/>
        <v>0.1320901320901321</v>
      </c>
      <c r="M44">
        <f t="shared" si="1"/>
        <v>132.0901320901321</v>
      </c>
    </row>
    <row r="45" spans="1:13" ht="14.25" customHeight="1" x14ac:dyDescent="0.25">
      <c r="A45" s="1">
        <v>1</v>
      </c>
      <c r="B45" s="1" t="s">
        <v>9</v>
      </c>
      <c r="C45" s="2" t="s">
        <v>47</v>
      </c>
      <c r="D45" s="3">
        <v>45498</v>
      </c>
      <c r="E45" s="7">
        <v>0.52013888888888893</v>
      </c>
      <c r="F45" s="1">
        <v>128.69999999999999</v>
      </c>
      <c r="G45" s="1">
        <v>7200</v>
      </c>
      <c r="H45" s="1">
        <v>55.9</v>
      </c>
      <c r="I45" s="1" t="s">
        <v>10</v>
      </c>
      <c r="J45" s="1" t="s">
        <v>13</v>
      </c>
      <c r="K45" s="1">
        <v>6</v>
      </c>
      <c r="L45">
        <f t="shared" si="0"/>
        <v>4.6620046620046623E-2</v>
      </c>
      <c r="M45">
        <f t="shared" si="1"/>
        <v>46.620046620046622</v>
      </c>
    </row>
    <row r="46" spans="1:13" ht="14.25" customHeight="1" x14ac:dyDescent="0.25">
      <c r="A46" s="1">
        <v>1</v>
      </c>
      <c r="B46" s="1" t="s">
        <v>9</v>
      </c>
      <c r="C46" s="2" t="s">
        <v>47</v>
      </c>
      <c r="D46" s="3">
        <v>45498</v>
      </c>
      <c r="E46" s="7">
        <v>0.52013888888888893</v>
      </c>
      <c r="F46" s="1">
        <v>128.69999999999999</v>
      </c>
      <c r="G46" s="1">
        <v>7200</v>
      </c>
      <c r="H46" s="1">
        <v>55.9</v>
      </c>
      <c r="I46" s="1" t="s">
        <v>42</v>
      </c>
      <c r="J46" s="1" t="s">
        <v>21</v>
      </c>
      <c r="K46" s="1">
        <v>3</v>
      </c>
      <c r="L46">
        <f t="shared" si="0"/>
        <v>2.3310023310023312E-2</v>
      </c>
      <c r="M46">
        <f t="shared" si="1"/>
        <v>23.310023310023311</v>
      </c>
    </row>
    <row r="47" spans="1:13" ht="14.25" customHeight="1" x14ac:dyDescent="0.25">
      <c r="A47" s="1">
        <v>1</v>
      </c>
      <c r="B47" s="1" t="s">
        <v>9</v>
      </c>
      <c r="C47" s="2" t="s">
        <v>47</v>
      </c>
      <c r="D47" s="3">
        <v>45498</v>
      </c>
      <c r="E47" s="7">
        <v>0.52013888888888893</v>
      </c>
      <c r="F47" s="1">
        <v>128.69999999999999</v>
      </c>
      <c r="G47" s="1">
        <v>7200</v>
      </c>
      <c r="H47" s="1">
        <v>55.9</v>
      </c>
      <c r="I47" s="1" t="s">
        <v>20</v>
      </c>
      <c r="K47" s="1">
        <v>25</v>
      </c>
      <c r="L47">
        <f t="shared" si="0"/>
        <v>0.19425019425019427</v>
      </c>
      <c r="M47">
        <f t="shared" si="1"/>
        <v>194.25019425019426</v>
      </c>
    </row>
    <row r="48" spans="1:13" ht="14.25" customHeight="1" x14ac:dyDescent="0.25">
      <c r="A48" s="1">
        <v>1</v>
      </c>
      <c r="B48" s="1" t="s">
        <v>9</v>
      </c>
      <c r="C48" s="2" t="s">
        <v>47</v>
      </c>
      <c r="D48" s="3">
        <v>45498</v>
      </c>
      <c r="E48" s="7">
        <v>0.52013888888888904</v>
      </c>
      <c r="F48" s="1">
        <v>128.69999999999999</v>
      </c>
      <c r="G48" s="1">
        <v>7200</v>
      </c>
      <c r="H48" s="1">
        <v>55.9</v>
      </c>
      <c r="I48" s="1" t="s">
        <v>42</v>
      </c>
      <c r="J48" s="1" t="s">
        <v>12</v>
      </c>
      <c r="K48" s="1">
        <v>10</v>
      </c>
      <c r="L48">
        <f t="shared" si="0"/>
        <v>7.770007770007771E-2</v>
      </c>
      <c r="M48">
        <f t="shared" si="1"/>
        <v>77.700077700077713</v>
      </c>
    </row>
    <row r="49" spans="1:13" ht="14.25" customHeight="1" x14ac:dyDescent="0.25">
      <c r="A49" s="1">
        <v>1</v>
      </c>
      <c r="B49" s="1" t="s">
        <v>9</v>
      </c>
      <c r="C49" s="2" t="s">
        <v>47</v>
      </c>
      <c r="D49" s="3">
        <v>45498</v>
      </c>
      <c r="E49" s="7">
        <v>0.52013888888888904</v>
      </c>
      <c r="F49" s="1">
        <v>128.69999999999999</v>
      </c>
      <c r="G49" s="1">
        <v>7200</v>
      </c>
      <c r="H49" s="1">
        <v>55.9</v>
      </c>
      <c r="I49" s="1" t="s">
        <v>46</v>
      </c>
      <c r="K49" s="1">
        <v>4</v>
      </c>
      <c r="L49">
        <f t="shared" si="0"/>
        <v>3.1080031080031083E-2</v>
      </c>
      <c r="M49">
        <f t="shared" si="1"/>
        <v>31.080031080031084</v>
      </c>
    </row>
    <row r="50" spans="1:13" ht="14.25" customHeight="1" x14ac:dyDescent="0.25">
      <c r="A50" s="1">
        <v>1</v>
      </c>
      <c r="B50" s="1" t="s">
        <v>9</v>
      </c>
      <c r="C50" s="2" t="s">
        <v>47</v>
      </c>
      <c r="D50" s="3">
        <v>45498</v>
      </c>
      <c r="E50" s="7">
        <v>0.52013888888888904</v>
      </c>
      <c r="F50" s="1">
        <v>128.69999999999999</v>
      </c>
      <c r="G50" s="1">
        <v>7200</v>
      </c>
      <c r="H50" s="1">
        <v>55.9</v>
      </c>
      <c r="I50" s="1" t="s">
        <v>15</v>
      </c>
      <c r="K50" s="1">
        <v>7</v>
      </c>
      <c r="L50">
        <f t="shared" si="0"/>
        <v>5.4390054390054392E-2</v>
      </c>
      <c r="M50">
        <f t="shared" si="1"/>
        <v>54.390054390054395</v>
      </c>
    </row>
    <row r="51" spans="1:13" ht="14.25" customHeight="1" x14ac:dyDescent="0.25">
      <c r="A51" s="1">
        <v>1</v>
      </c>
      <c r="B51" s="1" t="s">
        <v>9</v>
      </c>
      <c r="C51" s="2" t="s">
        <v>47</v>
      </c>
      <c r="D51" s="3">
        <v>45498</v>
      </c>
      <c r="E51" s="7">
        <v>0.52013888888888904</v>
      </c>
      <c r="F51" s="1">
        <v>128.69999999999999</v>
      </c>
      <c r="G51" s="1">
        <v>7200</v>
      </c>
      <c r="H51" s="1">
        <v>55.9</v>
      </c>
      <c r="I51" s="1" t="s">
        <v>24</v>
      </c>
      <c r="K51" s="1">
        <v>1</v>
      </c>
      <c r="L51">
        <f t="shared" si="0"/>
        <v>7.7700077700077709E-3</v>
      </c>
      <c r="M51">
        <f t="shared" si="1"/>
        <v>7.770007770007771</v>
      </c>
    </row>
    <row r="52" spans="1:13" ht="14.25" customHeight="1" x14ac:dyDescent="0.25">
      <c r="A52" s="1">
        <v>1</v>
      </c>
      <c r="B52" s="1" t="s">
        <v>9</v>
      </c>
      <c r="C52" s="2" t="s">
        <v>47</v>
      </c>
      <c r="D52" s="3">
        <v>45498</v>
      </c>
      <c r="E52" s="7">
        <v>0.52013888888888904</v>
      </c>
      <c r="F52" s="1">
        <v>128.69999999999999</v>
      </c>
      <c r="G52" s="1">
        <v>7200</v>
      </c>
      <c r="H52" s="1">
        <v>55.9</v>
      </c>
      <c r="I52" s="1" t="s">
        <v>18</v>
      </c>
      <c r="K52" s="1">
        <v>3</v>
      </c>
      <c r="L52">
        <f t="shared" si="0"/>
        <v>2.3310023310023312E-2</v>
      </c>
      <c r="M52">
        <f t="shared" si="1"/>
        <v>23.310023310023311</v>
      </c>
    </row>
    <row r="53" spans="1:13" ht="14.25" customHeight="1" x14ac:dyDescent="0.25">
      <c r="A53" s="1">
        <v>1</v>
      </c>
      <c r="B53" s="1" t="s">
        <v>9</v>
      </c>
      <c r="C53" s="2" t="s">
        <v>47</v>
      </c>
      <c r="D53" s="3">
        <v>45498</v>
      </c>
      <c r="E53" s="7">
        <v>0.52013888888888904</v>
      </c>
      <c r="F53" s="1">
        <v>128.69999999999999</v>
      </c>
      <c r="G53" s="1">
        <v>7200</v>
      </c>
      <c r="H53" s="1">
        <v>55.9</v>
      </c>
      <c r="I53" s="1" t="s">
        <v>18</v>
      </c>
      <c r="J53" s="1" t="s">
        <v>13</v>
      </c>
      <c r="K53" s="1">
        <v>1</v>
      </c>
      <c r="L53">
        <f t="shared" si="0"/>
        <v>7.7700077700077709E-3</v>
      </c>
      <c r="M53">
        <f t="shared" si="1"/>
        <v>7.770007770007771</v>
      </c>
    </row>
    <row r="54" spans="1:13" ht="14.25" customHeight="1" x14ac:dyDescent="0.25">
      <c r="A54" s="1">
        <v>1</v>
      </c>
      <c r="B54" s="1" t="s">
        <v>9</v>
      </c>
      <c r="C54" s="2" t="s">
        <v>47</v>
      </c>
      <c r="D54" s="3">
        <v>45498</v>
      </c>
      <c r="E54" s="7">
        <v>0.52013888888888904</v>
      </c>
      <c r="F54" s="1">
        <v>128.69999999999999</v>
      </c>
      <c r="G54" s="1">
        <v>7200</v>
      </c>
      <c r="H54" s="1">
        <v>55.9</v>
      </c>
      <c r="I54" s="1" t="s">
        <v>42</v>
      </c>
      <c r="J54" s="1" t="s">
        <v>17</v>
      </c>
      <c r="K54" s="1">
        <v>1</v>
      </c>
      <c r="L54">
        <f t="shared" si="0"/>
        <v>7.7700077700077709E-3</v>
      </c>
      <c r="M54">
        <f t="shared" si="1"/>
        <v>7.770007770007771</v>
      </c>
    </row>
    <row r="55" spans="1:13" ht="14.25" customHeight="1" x14ac:dyDescent="0.25">
      <c r="A55" s="1">
        <v>2</v>
      </c>
      <c r="B55" s="1" t="s">
        <v>9</v>
      </c>
      <c r="C55" s="2" t="s">
        <v>47</v>
      </c>
      <c r="D55" s="3">
        <v>45498</v>
      </c>
      <c r="E55" s="7">
        <v>0.52013888888888904</v>
      </c>
      <c r="F55" s="1">
        <v>128.69999999999999</v>
      </c>
      <c r="G55" s="1">
        <v>7585</v>
      </c>
      <c r="H55" s="1">
        <v>58.9</v>
      </c>
      <c r="I55" s="1" t="s">
        <v>42</v>
      </c>
      <c r="J55" s="1" t="s">
        <v>12</v>
      </c>
      <c r="K55" s="1">
        <v>28</v>
      </c>
      <c r="L55">
        <f t="shared" si="0"/>
        <v>0.21756021756021757</v>
      </c>
      <c r="M55">
        <f t="shared" si="1"/>
        <v>217.56021756021758</v>
      </c>
    </row>
    <row r="56" spans="1:13" ht="14.25" customHeight="1" x14ac:dyDescent="0.25">
      <c r="A56" s="1">
        <v>2</v>
      </c>
      <c r="B56" s="1" t="s">
        <v>9</v>
      </c>
      <c r="C56" s="2" t="s">
        <v>47</v>
      </c>
      <c r="D56" s="3">
        <v>45498</v>
      </c>
      <c r="E56" s="7">
        <v>0.52013888888888904</v>
      </c>
      <c r="F56" s="1">
        <v>128.69999999999999</v>
      </c>
      <c r="G56" s="1">
        <v>7585</v>
      </c>
      <c r="H56" s="1">
        <v>58.9</v>
      </c>
      <c r="I56" s="1" t="s">
        <v>42</v>
      </c>
      <c r="J56" s="1" t="s">
        <v>21</v>
      </c>
      <c r="K56" s="1">
        <v>4</v>
      </c>
      <c r="L56">
        <f t="shared" si="0"/>
        <v>3.1080031080031083E-2</v>
      </c>
      <c r="M56">
        <f t="shared" si="1"/>
        <v>31.080031080031084</v>
      </c>
    </row>
    <row r="57" spans="1:13" ht="14.25" customHeight="1" x14ac:dyDescent="0.25">
      <c r="A57" s="1">
        <v>2</v>
      </c>
      <c r="B57" s="1" t="s">
        <v>9</v>
      </c>
      <c r="C57" s="2" t="s">
        <v>47</v>
      </c>
      <c r="D57" s="3">
        <v>45498</v>
      </c>
      <c r="E57" s="7">
        <v>0.52013888888888904</v>
      </c>
      <c r="F57" s="1">
        <v>128.69999999999999</v>
      </c>
      <c r="G57" s="1">
        <v>7585</v>
      </c>
      <c r="H57" s="1">
        <v>58.9</v>
      </c>
      <c r="I57" s="1" t="s">
        <v>20</v>
      </c>
      <c r="K57" s="1">
        <v>25</v>
      </c>
      <c r="L57">
        <f t="shared" si="0"/>
        <v>0.19425019425019427</v>
      </c>
      <c r="M57">
        <f t="shared" si="1"/>
        <v>194.25019425019426</v>
      </c>
    </row>
    <row r="58" spans="1:13" ht="14.25" customHeight="1" x14ac:dyDescent="0.25">
      <c r="A58" s="1">
        <v>2</v>
      </c>
      <c r="B58" s="1" t="s">
        <v>9</v>
      </c>
      <c r="C58" s="2" t="s">
        <v>47</v>
      </c>
      <c r="D58" s="3">
        <v>45498</v>
      </c>
      <c r="E58" s="7">
        <v>0.52013888888888904</v>
      </c>
      <c r="F58" s="1">
        <v>128.69999999999999</v>
      </c>
      <c r="G58" s="1">
        <v>7585</v>
      </c>
      <c r="H58" s="1">
        <v>58.9</v>
      </c>
      <c r="I58" s="1" t="s">
        <v>10</v>
      </c>
      <c r="J58" s="1" t="s">
        <v>11</v>
      </c>
      <c r="K58" s="1">
        <v>15</v>
      </c>
      <c r="L58">
        <f t="shared" si="0"/>
        <v>0.11655011655011656</v>
      </c>
      <c r="M58">
        <f t="shared" si="1"/>
        <v>116.55011655011656</v>
      </c>
    </row>
    <row r="59" spans="1:13" ht="14.25" customHeight="1" x14ac:dyDescent="0.25">
      <c r="A59" s="1">
        <v>2</v>
      </c>
      <c r="B59" s="1" t="s">
        <v>9</v>
      </c>
      <c r="C59" s="2" t="s">
        <v>47</v>
      </c>
      <c r="D59" s="3">
        <v>45498</v>
      </c>
      <c r="E59" s="7">
        <v>0.52013888888888904</v>
      </c>
      <c r="F59" s="1">
        <v>128.69999999999999</v>
      </c>
      <c r="G59" s="1">
        <v>7585</v>
      </c>
      <c r="H59" s="1">
        <v>58.9</v>
      </c>
      <c r="I59" s="1" t="s">
        <v>46</v>
      </c>
      <c r="K59" s="1">
        <v>1</v>
      </c>
      <c r="L59">
        <f t="shared" si="0"/>
        <v>7.7700077700077709E-3</v>
      </c>
      <c r="M59">
        <f t="shared" si="1"/>
        <v>7.770007770007771</v>
      </c>
    </row>
    <row r="60" spans="1:13" ht="14.25" customHeight="1" x14ac:dyDescent="0.25">
      <c r="A60" s="1">
        <v>2</v>
      </c>
      <c r="B60" s="1" t="s">
        <v>9</v>
      </c>
      <c r="C60" s="2" t="s">
        <v>47</v>
      </c>
      <c r="D60" s="3">
        <v>45498</v>
      </c>
      <c r="E60" s="7">
        <v>0.52013888888888904</v>
      </c>
      <c r="F60" s="1">
        <v>128.69999999999999</v>
      </c>
      <c r="G60" s="1">
        <v>7585</v>
      </c>
      <c r="H60" s="1">
        <v>58.9</v>
      </c>
      <c r="I60" s="1" t="s">
        <v>15</v>
      </c>
      <c r="K60" s="1">
        <v>2</v>
      </c>
      <c r="L60">
        <f t="shared" si="0"/>
        <v>1.5540015540015542E-2</v>
      </c>
      <c r="M60">
        <f t="shared" si="1"/>
        <v>15.540015540015542</v>
      </c>
    </row>
    <row r="61" spans="1:13" ht="14.25" customHeight="1" x14ac:dyDescent="0.25">
      <c r="A61" s="1">
        <v>2</v>
      </c>
      <c r="B61" s="1" t="s">
        <v>9</v>
      </c>
      <c r="C61" s="2" t="s">
        <v>47</v>
      </c>
      <c r="D61" s="3">
        <v>45498</v>
      </c>
      <c r="E61" s="7">
        <v>0.52013888888888904</v>
      </c>
      <c r="F61" s="1">
        <v>128.69999999999999</v>
      </c>
      <c r="G61" s="1">
        <v>7585</v>
      </c>
      <c r="H61" s="1">
        <v>58.9</v>
      </c>
      <c r="I61" s="1" t="s">
        <v>10</v>
      </c>
      <c r="J61" s="1" t="s">
        <v>22</v>
      </c>
      <c r="K61" s="1">
        <v>1</v>
      </c>
      <c r="L61">
        <f t="shared" si="0"/>
        <v>7.7700077700077709E-3</v>
      </c>
      <c r="M61">
        <f t="shared" si="1"/>
        <v>7.770007770007771</v>
      </c>
    </row>
    <row r="62" spans="1:13" ht="14.25" customHeight="1" x14ac:dyDescent="0.25">
      <c r="A62" s="1">
        <v>2</v>
      </c>
      <c r="B62" s="1" t="s">
        <v>9</v>
      </c>
      <c r="C62" s="2" t="s">
        <v>47</v>
      </c>
      <c r="D62" s="3">
        <v>45498</v>
      </c>
      <c r="E62" s="7">
        <v>0.52013888888888904</v>
      </c>
      <c r="F62" s="1">
        <v>128.69999999999999</v>
      </c>
      <c r="G62" s="1">
        <v>7585</v>
      </c>
      <c r="H62" s="1">
        <v>58.9</v>
      </c>
      <c r="I62" s="1" t="s">
        <v>42</v>
      </c>
      <c r="J62" s="1" t="s">
        <v>17</v>
      </c>
      <c r="K62" s="1">
        <v>3</v>
      </c>
      <c r="L62">
        <f t="shared" si="0"/>
        <v>2.3310023310023312E-2</v>
      </c>
      <c r="M62">
        <f t="shared" si="1"/>
        <v>23.310023310023311</v>
      </c>
    </row>
    <row r="63" spans="1:13" ht="14.25" customHeight="1" x14ac:dyDescent="0.25">
      <c r="A63" s="1">
        <v>2</v>
      </c>
      <c r="B63" s="1" t="s">
        <v>9</v>
      </c>
      <c r="C63" s="2" t="s">
        <v>47</v>
      </c>
      <c r="D63" s="3">
        <v>45498</v>
      </c>
      <c r="E63" s="7">
        <v>0.52013888888888904</v>
      </c>
      <c r="F63" s="1">
        <v>128.69999999999999</v>
      </c>
      <c r="G63" s="1">
        <v>7585</v>
      </c>
      <c r="H63" s="1">
        <v>58.9</v>
      </c>
      <c r="I63" s="1" t="s">
        <v>24</v>
      </c>
      <c r="K63" s="1">
        <v>2</v>
      </c>
      <c r="L63">
        <f t="shared" si="0"/>
        <v>1.5540015540015542E-2</v>
      </c>
      <c r="M63">
        <f t="shared" si="1"/>
        <v>15.540015540015542</v>
      </c>
    </row>
    <row r="64" spans="1:13" ht="14.25" customHeight="1" x14ac:dyDescent="0.25">
      <c r="A64" s="1">
        <v>3</v>
      </c>
      <c r="B64" s="1" t="s">
        <v>9</v>
      </c>
      <c r="C64" s="2" t="s">
        <v>47</v>
      </c>
      <c r="D64" s="3">
        <v>45498</v>
      </c>
      <c r="E64" s="7">
        <v>0.52013888888888904</v>
      </c>
      <c r="F64" s="1">
        <v>128.69999999999999</v>
      </c>
      <c r="G64" s="1">
        <v>8084</v>
      </c>
      <c r="H64" s="1">
        <v>62.8</v>
      </c>
      <c r="I64" s="1" t="s">
        <v>10</v>
      </c>
      <c r="J64" s="1" t="s">
        <v>11</v>
      </c>
      <c r="K64" s="1">
        <v>10</v>
      </c>
      <c r="L64">
        <f t="shared" si="0"/>
        <v>7.770007770007771E-2</v>
      </c>
      <c r="M64">
        <f t="shared" si="1"/>
        <v>77.700077700077713</v>
      </c>
    </row>
    <row r="65" spans="1:13" ht="14.25" customHeight="1" x14ac:dyDescent="0.25">
      <c r="A65" s="1">
        <v>3</v>
      </c>
      <c r="B65" s="1" t="s">
        <v>9</v>
      </c>
      <c r="C65" s="2" t="s">
        <v>47</v>
      </c>
      <c r="D65" s="3">
        <v>45498</v>
      </c>
      <c r="E65" s="7">
        <v>0.52013888888888904</v>
      </c>
      <c r="F65" s="1">
        <v>128.69999999999999</v>
      </c>
      <c r="G65" s="1">
        <v>8084</v>
      </c>
      <c r="H65" s="1">
        <v>62.8</v>
      </c>
      <c r="I65" s="1" t="s">
        <v>42</v>
      </c>
      <c r="J65" s="1" t="s">
        <v>21</v>
      </c>
      <c r="K65" s="1">
        <v>4</v>
      </c>
      <c r="L65">
        <f t="shared" si="0"/>
        <v>3.1080031080031083E-2</v>
      </c>
      <c r="M65">
        <f t="shared" si="1"/>
        <v>31.080031080031084</v>
      </c>
    </row>
    <row r="66" spans="1:13" ht="14.25" customHeight="1" x14ac:dyDescent="0.25">
      <c r="A66" s="1">
        <v>3</v>
      </c>
      <c r="B66" s="1" t="s">
        <v>9</v>
      </c>
      <c r="C66" s="2" t="s">
        <v>47</v>
      </c>
      <c r="D66" s="3">
        <v>45498</v>
      </c>
      <c r="E66" s="7">
        <v>0.52013888888888904</v>
      </c>
      <c r="F66" s="1">
        <v>128.69999999999999</v>
      </c>
      <c r="G66" s="1">
        <v>8084</v>
      </c>
      <c r="H66" s="1">
        <v>62.8</v>
      </c>
      <c r="I66" s="1" t="s">
        <v>20</v>
      </c>
      <c r="K66" s="1">
        <v>29</v>
      </c>
      <c r="L66">
        <f t="shared" si="0"/>
        <v>0.22533022533022534</v>
      </c>
      <c r="M66">
        <f t="shared" si="1"/>
        <v>225.33022533022535</v>
      </c>
    </row>
    <row r="67" spans="1:13" ht="14.25" customHeight="1" x14ac:dyDescent="0.25">
      <c r="A67" s="1">
        <v>3</v>
      </c>
      <c r="B67" s="1" t="s">
        <v>9</v>
      </c>
      <c r="C67" s="2" t="s">
        <v>47</v>
      </c>
      <c r="D67" s="3">
        <v>45498</v>
      </c>
      <c r="E67" s="7">
        <v>0.52013888888888904</v>
      </c>
      <c r="F67" s="1">
        <v>128.69999999999999</v>
      </c>
      <c r="G67" s="1">
        <v>8084</v>
      </c>
      <c r="H67" s="1">
        <v>62.8</v>
      </c>
      <c r="I67" s="1" t="s">
        <v>42</v>
      </c>
      <c r="J67" s="1" t="s">
        <v>17</v>
      </c>
      <c r="K67" s="1">
        <v>4</v>
      </c>
      <c r="L67">
        <f t="shared" ref="L67:L130" si="2">(K67/F67)</f>
        <v>3.1080031080031083E-2</v>
      </c>
      <c r="M67">
        <f t="shared" si="1"/>
        <v>31.080031080031084</v>
      </c>
    </row>
    <row r="68" spans="1:13" ht="14.25" customHeight="1" x14ac:dyDescent="0.25">
      <c r="A68" s="1">
        <v>3</v>
      </c>
      <c r="B68" s="1" t="s">
        <v>9</v>
      </c>
      <c r="C68" s="2" t="s">
        <v>47</v>
      </c>
      <c r="D68" s="3">
        <v>45498</v>
      </c>
      <c r="E68" s="7">
        <v>0.52013888888888904</v>
      </c>
      <c r="F68" s="1">
        <v>128.69999999999999</v>
      </c>
      <c r="G68" s="1">
        <v>8084</v>
      </c>
      <c r="H68" s="1">
        <v>62.8</v>
      </c>
      <c r="I68" s="1" t="s">
        <v>42</v>
      </c>
      <c r="J68" s="1" t="s">
        <v>12</v>
      </c>
      <c r="K68" s="1">
        <v>24</v>
      </c>
      <c r="L68">
        <f t="shared" si="2"/>
        <v>0.18648018648018649</v>
      </c>
      <c r="M68">
        <f t="shared" si="1"/>
        <v>186.48018648018649</v>
      </c>
    </row>
    <row r="69" spans="1:13" ht="14.25" customHeight="1" x14ac:dyDescent="0.25">
      <c r="A69" s="1">
        <v>3</v>
      </c>
      <c r="B69" s="1" t="s">
        <v>9</v>
      </c>
      <c r="C69" s="2" t="s">
        <v>47</v>
      </c>
      <c r="D69" s="3">
        <v>45498</v>
      </c>
      <c r="E69" s="7">
        <v>0.52013888888888904</v>
      </c>
      <c r="F69" s="1">
        <v>128.69999999999999</v>
      </c>
      <c r="G69" s="1">
        <v>8084</v>
      </c>
      <c r="H69" s="1">
        <v>62.8</v>
      </c>
      <c r="I69" s="1" t="s">
        <v>15</v>
      </c>
      <c r="K69" s="1">
        <v>2</v>
      </c>
      <c r="L69">
        <f t="shared" si="2"/>
        <v>1.5540015540015542E-2</v>
      </c>
      <c r="M69">
        <f t="shared" ref="M69:M132" si="3">L69*1000</f>
        <v>15.540015540015542</v>
      </c>
    </row>
    <row r="70" spans="1:13" ht="14.25" customHeight="1" x14ac:dyDescent="0.25">
      <c r="A70" s="1">
        <v>3</v>
      </c>
      <c r="B70" s="1" t="s">
        <v>9</v>
      </c>
      <c r="C70" s="2" t="s">
        <v>47</v>
      </c>
      <c r="D70" s="3">
        <v>45498</v>
      </c>
      <c r="E70" s="7">
        <v>0.52013888888888904</v>
      </c>
      <c r="F70" s="1">
        <v>128.69999999999999</v>
      </c>
      <c r="G70" s="1">
        <v>8084</v>
      </c>
      <c r="H70" s="1">
        <v>62.8</v>
      </c>
      <c r="I70" s="1" t="s">
        <v>46</v>
      </c>
      <c r="K70" s="1">
        <v>4</v>
      </c>
      <c r="L70">
        <f t="shared" si="2"/>
        <v>3.1080031080031083E-2</v>
      </c>
      <c r="M70">
        <f t="shared" si="3"/>
        <v>31.080031080031084</v>
      </c>
    </row>
    <row r="71" spans="1:13" ht="14.25" customHeight="1" x14ac:dyDescent="0.25">
      <c r="A71" s="1">
        <v>3</v>
      </c>
      <c r="B71" s="1" t="s">
        <v>9</v>
      </c>
      <c r="C71" s="2" t="s">
        <v>47</v>
      </c>
      <c r="D71" s="3">
        <v>45498</v>
      </c>
      <c r="E71" s="7">
        <v>0.52013888888888904</v>
      </c>
      <c r="F71" s="1">
        <v>128.69999999999999</v>
      </c>
      <c r="G71" s="1">
        <v>8084</v>
      </c>
      <c r="H71" s="1">
        <v>62.8</v>
      </c>
      <c r="I71" s="1" t="s">
        <v>10</v>
      </c>
      <c r="J71" s="1" t="s">
        <v>13</v>
      </c>
      <c r="K71" s="1">
        <v>1</v>
      </c>
      <c r="L71">
        <f t="shared" si="2"/>
        <v>7.7700077700077709E-3</v>
      </c>
      <c r="M71">
        <f t="shared" si="3"/>
        <v>7.770007770007771</v>
      </c>
    </row>
    <row r="72" spans="1:13" ht="14.25" customHeight="1" x14ac:dyDescent="0.25">
      <c r="A72" s="1">
        <v>3</v>
      </c>
      <c r="B72" s="1" t="s">
        <v>9</v>
      </c>
      <c r="C72" s="2" t="s">
        <v>47</v>
      </c>
      <c r="D72" s="3">
        <v>45498</v>
      </c>
      <c r="E72" s="7">
        <v>0.52013888888888904</v>
      </c>
      <c r="F72" s="1">
        <v>128.69999999999999</v>
      </c>
      <c r="G72" s="1">
        <v>8084</v>
      </c>
      <c r="H72" s="1">
        <v>62.8</v>
      </c>
      <c r="I72" s="1" t="s">
        <v>18</v>
      </c>
      <c r="K72" s="1">
        <v>1</v>
      </c>
      <c r="L72">
        <f t="shared" si="2"/>
        <v>7.7700077700077709E-3</v>
      </c>
      <c r="M72">
        <f t="shared" si="3"/>
        <v>7.770007770007771</v>
      </c>
    </row>
    <row r="73" spans="1:13" ht="14.25" customHeight="1" x14ac:dyDescent="0.25">
      <c r="A73" s="1">
        <v>3</v>
      </c>
      <c r="B73" s="1" t="s">
        <v>9</v>
      </c>
      <c r="C73" s="2" t="s">
        <v>47</v>
      </c>
      <c r="D73" s="3">
        <v>45498</v>
      </c>
      <c r="E73" s="7">
        <v>0.52013888888888904</v>
      </c>
      <c r="F73" s="1">
        <v>128.69999999999999</v>
      </c>
      <c r="G73" s="1">
        <v>8084</v>
      </c>
      <c r="H73" s="1">
        <v>62.8</v>
      </c>
      <c r="I73" s="1" t="s">
        <v>42</v>
      </c>
      <c r="J73" s="1" t="s">
        <v>25</v>
      </c>
      <c r="K73" s="1">
        <v>3</v>
      </c>
      <c r="L73">
        <f t="shared" si="2"/>
        <v>2.3310023310023312E-2</v>
      </c>
      <c r="M73">
        <f t="shared" si="3"/>
        <v>23.310023310023311</v>
      </c>
    </row>
    <row r="74" spans="1:13" ht="14.25" customHeight="1" x14ac:dyDescent="0.25">
      <c r="A74" s="1">
        <v>3</v>
      </c>
      <c r="B74" s="1" t="s">
        <v>9</v>
      </c>
      <c r="C74" s="2" t="s">
        <v>47</v>
      </c>
      <c r="D74" s="3">
        <v>45498</v>
      </c>
      <c r="E74" s="7">
        <v>0.52013888888888904</v>
      </c>
      <c r="F74" s="1">
        <v>128.69999999999999</v>
      </c>
      <c r="G74" s="1">
        <v>8084</v>
      </c>
      <c r="H74" s="1">
        <v>62.8</v>
      </c>
      <c r="I74" s="1" t="s">
        <v>18</v>
      </c>
      <c r="J74" s="1" t="s">
        <v>13</v>
      </c>
      <c r="K74" s="1">
        <v>1</v>
      </c>
      <c r="L74">
        <f t="shared" si="2"/>
        <v>7.7700077700077709E-3</v>
      </c>
      <c r="M74">
        <f t="shared" si="3"/>
        <v>7.770007770007771</v>
      </c>
    </row>
    <row r="75" spans="1:13" ht="14.25" customHeight="1" x14ac:dyDescent="0.25">
      <c r="A75" s="1">
        <v>1</v>
      </c>
      <c r="B75" s="1" t="s">
        <v>9</v>
      </c>
      <c r="C75" s="2" t="s">
        <v>48</v>
      </c>
      <c r="D75" s="3">
        <v>45520</v>
      </c>
      <c r="E75" s="4">
        <v>0.60069444444444442</v>
      </c>
      <c r="F75" s="1">
        <v>68.2</v>
      </c>
      <c r="G75" s="1">
        <v>3000</v>
      </c>
      <c r="H75" s="1">
        <v>44</v>
      </c>
      <c r="I75" s="1" t="s">
        <v>10</v>
      </c>
      <c r="J75" s="1" t="s">
        <v>13</v>
      </c>
      <c r="K75" s="1">
        <v>14</v>
      </c>
      <c r="L75">
        <f t="shared" si="2"/>
        <v>0.20527859237536655</v>
      </c>
      <c r="M75">
        <f t="shared" si="3"/>
        <v>205.27859237536654</v>
      </c>
    </row>
    <row r="76" spans="1:13" ht="14.25" customHeight="1" x14ac:dyDescent="0.25">
      <c r="A76" s="1">
        <v>1</v>
      </c>
      <c r="B76" s="1" t="s">
        <v>9</v>
      </c>
      <c r="C76" s="2" t="s">
        <v>48</v>
      </c>
      <c r="D76" s="3">
        <v>45520</v>
      </c>
      <c r="E76" s="4">
        <v>0.60069444444444442</v>
      </c>
      <c r="F76" s="1">
        <v>68.2</v>
      </c>
      <c r="G76" s="1">
        <v>3000</v>
      </c>
      <c r="H76" s="1">
        <v>44</v>
      </c>
      <c r="I76" s="1" t="s">
        <v>42</v>
      </c>
      <c r="J76" s="1" t="s">
        <v>12</v>
      </c>
      <c r="K76" s="1">
        <v>15</v>
      </c>
      <c r="L76">
        <f t="shared" si="2"/>
        <v>0.21994134897360704</v>
      </c>
      <c r="M76">
        <f t="shared" si="3"/>
        <v>219.94134897360703</v>
      </c>
    </row>
    <row r="77" spans="1:13" ht="14.25" customHeight="1" x14ac:dyDescent="0.25">
      <c r="A77" s="1">
        <v>1</v>
      </c>
      <c r="B77" s="1" t="s">
        <v>9</v>
      </c>
      <c r="C77" s="2" t="s">
        <v>48</v>
      </c>
      <c r="D77" s="3">
        <v>45520</v>
      </c>
      <c r="E77" s="4">
        <v>0.60069444444444442</v>
      </c>
      <c r="F77" s="1">
        <v>68.2</v>
      </c>
      <c r="G77" s="1">
        <v>3000</v>
      </c>
      <c r="H77" s="1">
        <v>44</v>
      </c>
      <c r="I77" s="1" t="s">
        <v>18</v>
      </c>
      <c r="K77" s="1">
        <v>5</v>
      </c>
      <c r="L77">
        <f t="shared" si="2"/>
        <v>7.3313782991202336E-2</v>
      </c>
      <c r="M77">
        <f t="shared" si="3"/>
        <v>73.313782991202331</v>
      </c>
    </row>
    <row r="78" spans="1:13" ht="14.25" customHeight="1" x14ac:dyDescent="0.25">
      <c r="A78" s="1">
        <v>1</v>
      </c>
      <c r="B78" s="1" t="s">
        <v>9</v>
      </c>
      <c r="C78" s="2" t="s">
        <v>48</v>
      </c>
      <c r="D78" s="3">
        <v>45520</v>
      </c>
      <c r="E78" s="4">
        <v>0.60069444444444398</v>
      </c>
      <c r="F78" s="1">
        <v>68.2</v>
      </c>
      <c r="G78" s="1">
        <v>3000</v>
      </c>
      <c r="H78" s="1">
        <v>44</v>
      </c>
      <c r="I78" s="1" t="s">
        <v>20</v>
      </c>
      <c r="K78" s="1">
        <v>22</v>
      </c>
      <c r="L78">
        <f t="shared" si="2"/>
        <v>0.32258064516129031</v>
      </c>
      <c r="M78">
        <f t="shared" si="3"/>
        <v>322.58064516129031</v>
      </c>
    </row>
    <row r="79" spans="1:13" ht="14.25" customHeight="1" x14ac:dyDescent="0.25">
      <c r="A79" s="1">
        <v>1</v>
      </c>
      <c r="B79" s="1" t="s">
        <v>9</v>
      </c>
      <c r="C79" s="2" t="s">
        <v>48</v>
      </c>
      <c r="D79" s="3">
        <v>45520</v>
      </c>
      <c r="E79" s="4">
        <v>0.60069444444444398</v>
      </c>
      <c r="F79" s="1">
        <v>68.2</v>
      </c>
      <c r="G79" s="1">
        <v>3000</v>
      </c>
      <c r="H79" s="1">
        <v>44</v>
      </c>
      <c r="I79" s="1" t="s">
        <v>42</v>
      </c>
      <c r="J79" s="1" t="s">
        <v>21</v>
      </c>
      <c r="K79" s="1">
        <v>3</v>
      </c>
      <c r="L79">
        <f t="shared" si="2"/>
        <v>4.3988269794721403E-2</v>
      </c>
      <c r="M79">
        <f t="shared" si="3"/>
        <v>43.988269794721404</v>
      </c>
    </row>
    <row r="80" spans="1:13" ht="14.25" customHeight="1" x14ac:dyDescent="0.25">
      <c r="A80" s="1">
        <v>1</v>
      </c>
      <c r="B80" s="1" t="s">
        <v>9</v>
      </c>
      <c r="C80" s="2" t="s">
        <v>48</v>
      </c>
      <c r="D80" s="3">
        <v>45520</v>
      </c>
      <c r="E80" s="4">
        <v>0.60069444444444398</v>
      </c>
      <c r="F80" s="1">
        <v>68.2</v>
      </c>
      <c r="G80" s="1">
        <v>3000</v>
      </c>
      <c r="H80" s="1">
        <v>44</v>
      </c>
      <c r="I80" s="1" t="s">
        <v>26</v>
      </c>
      <c r="K80" s="1">
        <v>8</v>
      </c>
      <c r="L80">
        <f t="shared" si="2"/>
        <v>0.11730205278592375</v>
      </c>
      <c r="M80">
        <f t="shared" si="3"/>
        <v>117.30205278592375</v>
      </c>
    </row>
    <row r="81" spans="1:13" ht="14.25" customHeight="1" x14ac:dyDescent="0.25">
      <c r="A81" s="1">
        <v>1</v>
      </c>
      <c r="B81" s="1" t="s">
        <v>9</v>
      </c>
      <c r="C81" s="2" t="s">
        <v>48</v>
      </c>
      <c r="D81" s="3">
        <v>45520</v>
      </c>
      <c r="E81" s="4">
        <v>0.60069444444444398</v>
      </c>
      <c r="F81" s="1">
        <v>68.2</v>
      </c>
      <c r="G81" s="1">
        <v>3000</v>
      </c>
      <c r="H81" s="1">
        <v>44</v>
      </c>
      <c r="I81" s="1" t="s">
        <v>42</v>
      </c>
      <c r="J81" s="1" t="s">
        <v>17</v>
      </c>
      <c r="K81" s="1">
        <v>2</v>
      </c>
      <c r="L81">
        <f t="shared" si="2"/>
        <v>2.9325513196480937E-2</v>
      </c>
      <c r="M81">
        <f t="shared" si="3"/>
        <v>29.325513196480937</v>
      </c>
    </row>
    <row r="82" spans="1:13" ht="14.25" customHeight="1" x14ac:dyDescent="0.25">
      <c r="A82" s="1">
        <v>1</v>
      </c>
      <c r="B82" s="1" t="s">
        <v>9</v>
      </c>
      <c r="C82" s="2" t="s">
        <v>48</v>
      </c>
      <c r="D82" s="3">
        <v>45520</v>
      </c>
      <c r="E82" s="4">
        <v>0.60069444444444398</v>
      </c>
      <c r="F82" s="1">
        <v>68.2</v>
      </c>
      <c r="G82" s="1">
        <v>3000</v>
      </c>
      <c r="H82" s="1">
        <v>44</v>
      </c>
      <c r="I82" s="1" t="s">
        <v>14</v>
      </c>
      <c r="K82" s="1">
        <v>2</v>
      </c>
      <c r="L82">
        <f t="shared" si="2"/>
        <v>2.9325513196480937E-2</v>
      </c>
      <c r="M82">
        <f t="shared" si="3"/>
        <v>29.325513196480937</v>
      </c>
    </row>
    <row r="83" spans="1:13" ht="14.25" customHeight="1" x14ac:dyDescent="0.25">
      <c r="A83" s="1">
        <v>1</v>
      </c>
      <c r="B83" s="1" t="s">
        <v>9</v>
      </c>
      <c r="C83" s="2" t="s">
        <v>48</v>
      </c>
      <c r="D83" s="3">
        <v>45520</v>
      </c>
      <c r="E83" s="4">
        <v>0.60069444444444398</v>
      </c>
      <c r="F83" s="1">
        <v>68.2</v>
      </c>
      <c r="G83" s="1">
        <v>3000</v>
      </c>
      <c r="H83" s="1">
        <v>44</v>
      </c>
      <c r="I83" s="1" t="s">
        <v>15</v>
      </c>
      <c r="J83" s="1" t="s">
        <v>16</v>
      </c>
      <c r="K83" s="1">
        <v>3</v>
      </c>
      <c r="L83">
        <f t="shared" si="2"/>
        <v>4.3988269794721403E-2</v>
      </c>
      <c r="M83">
        <f t="shared" si="3"/>
        <v>43.988269794721404</v>
      </c>
    </row>
    <row r="84" spans="1:13" ht="14.25" customHeight="1" x14ac:dyDescent="0.25">
      <c r="A84" s="1">
        <v>1</v>
      </c>
      <c r="B84" s="1" t="s">
        <v>9</v>
      </c>
      <c r="C84" s="2" t="s">
        <v>48</v>
      </c>
      <c r="D84" s="3">
        <v>45520</v>
      </c>
      <c r="E84" s="4">
        <v>0.60069444444444398</v>
      </c>
      <c r="F84" s="1">
        <v>68.2</v>
      </c>
      <c r="G84" s="1">
        <v>3000</v>
      </c>
      <c r="H84" s="1">
        <v>44</v>
      </c>
      <c r="I84" s="1" t="s">
        <v>10</v>
      </c>
      <c r="J84" s="1" t="s">
        <v>11</v>
      </c>
      <c r="K84" s="1">
        <v>1</v>
      </c>
      <c r="L84">
        <f t="shared" si="2"/>
        <v>1.4662756598240468E-2</v>
      </c>
      <c r="M84">
        <f t="shared" si="3"/>
        <v>14.662756598240469</v>
      </c>
    </row>
    <row r="85" spans="1:13" ht="14.25" customHeight="1" x14ac:dyDescent="0.25">
      <c r="A85" s="1">
        <v>2</v>
      </c>
      <c r="B85" s="1" t="s">
        <v>9</v>
      </c>
      <c r="C85" s="2" t="s">
        <v>48</v>
      </c>
      <c r="D85" s="3">
        <v>45520</v>
      </c>
      <c r="E85" s="4">
        <v>0.60069444444444398</v>
      </c>
      <c r="F85" s="1">
        <v>68.2</v>
      </c>
      <c r="G85" s="1">
        <v>2520</v>
      </c>
      <c r="H85" s="1">
        <v>37</v>
      </c>
      <c r="I85" s="1" t="s">
        <v>20</v>
      </c>
      <c r="K85" s="1">
        <v>18</v>
      </c>
      <c r="L85">
        <f t="shared" si="2"/>
        <v>0.26392961876832843</v>
      </c>
      <c r="M85">
        <f t="shared" si="3"/>
        <v>263.92961876832845</v>
      </c>
    </row>
    <row r="86" spans="1:13" ht="14.25" customHeight="1" x14ac:dyDescent="0.25">
      <c r="A86" s="1">
        <v>2</v>
      </c>
      <c r="B86" s="1" t="s">
        <v>9</v>
      </c>
      <c r="C86" s="2" t="s">
        <v>48</v>
      </c>
      <c r="D86" s="3">
        <v>45520</v>
      </c>
      <c r="E86" s="4">
        <v>0.60069444444444398</v>
      </c>
      <c r="F86" s="1">
        <v>68.2</v>
      </c>
      <c r="G86" s="1">
        <v>2520</v>
      </c>
      <c r="H86" s="1">
        <v>37</v>
      </c>
      <c r="I86" s="1" t="s">
        <v>10</v>
      </c>
      <c r="J86" s="1" t="s">
        <v>13</v>
      </c>
      <c r="K86" s="1">
        <v>11</v>
      </c>
      <c r="L86">
        <f t="shared" si="2"/>
        <v>0.16129032258064516</v>
      </c>
      <c r="M86">
        <f t="shared" si="3"/>
        <v>161.29032258064515</v>
      </c>
    </row>
    <row r="87" spans="1:13" ht="14.25" customHeight="1" x14ac:dyDescent="0.25">
      <c r="A87" s="1">
        <v>2</v>
      </c>
      <c r="B87" s="1" t="s">
        <v>9</v>
      </c>
      <c r="C87" s="2" t="s">
        <v>48</v>
      </c>
      <c r="D87" s="3">
        <v>45520</v>
      </c>
      <c r="E87" s="4">
        <v>0.60069444444444398</v>
      </c>
      <c r="F87" s="1">
        <v>68.2</v>
      </c>
      <c r="G87" s="1">
        <v>2520</v>
      </c>
      <c r="H87" s="1">
        <v>37</v>
      </c>
      <c r="I87" s="1" t="s">
        <v>42</v>
      </c>
      <c r="J87" s="1" t="s">
        <v>12</v>
      </c>
      <c r="K87" s="1">
        <v>13</v>
      </c>
      <c r="L87">
        <f t="shared" si="2"/>
        <v>0.1906158357771261</v>
      </c>
      <c r="M87">
        <f t="shared" si="3"/>
        <v>190.61583577712611</v>
      </c>
    </row>
    <row r="88" spans="1:13" ht="14.25" customHeight="1" x14ac:dyDescent="0.25">
      <c r="A88" s="1">
        <v>2</v>
      </c>
      <c r="B88" s="1" t="s">
        <v>9</v>
      </c>
      <c r="C88" s="2" t="s">
        <v>48</v>
      </c>
      <c r="D88" s="3">
        <v>45520</v>
      </c>
      <c r="E88" s="4">
        <v>0.60069444444444398</v>
      </c>
      <c r="F88" s="1">
        <v>68.2</v>
      </c>
      <c r="G88" s="1">
        <v>2520</v>
      </c>
      <c r="H88" s="1">
        <v>37</v>
      </c>
      <c r="I88" s="1" t="s">
        <v>26</v>
      </c>
      <c r="K88" s="1">
        <v>8</v>
      </c>
      <c r="L88">
        <f t="shared" si="2"/>
        <v>0.11730205278592375</v>
      </c>
      <c r="M88">
        <f t="shared" si="3"/>
        <v>117.30205278592375</v>
      </c>
    </row>
    <row r="89" spans="1:13" ht="14.25" customHeight="1" x14ac:dyDescent="0.25">
      <c r="A89" s="1">
        <v>2</v>
      </c>
      <c r="B89" s="1" t="s">
        <v>9</v>
      </c>
      <c r="C89" s="2" t="s">
        <v>48</v>
      </c>
      <c r="D89" s="3">
        <v>45520</v>
      </c>
      <c r="E89" s="4">
        <v>0.60069444444444398</v>
      </c>
      <c r="F89" s="1">
        <v>68.2</v>
      </c>
      <c r="G89" s="1">
        <v>2520</v>
      </c>
      <c r="H89" s="1">
        <v>37</v>
      </c>
      <c r="I89" s="1" t="s">
        <v>15</v>
      </c>
      <c r="K89" s="1">
        <v>3</v>
      </c>
      <c r="L89">
        <f t="shared" si="2"/>
        <v>4.3988269794721403E-2</v>
      </c>
      <c r="M89">
        <f t="shared" si="3"/>
        <v>43.988269794721404</v>
      </c>
    </row>
    <row r="90" spans="1:13" ht="14.25" customHeight="1" x14ac:dyDescent="0.25">
      <c r="A90" s="1">
        <v>2</v>
      </c>
      <c r="B90" s="1" t="s">
        <v>9</v>
      </c>
      <c r="C90" s="2" t="s">
        <v>48</v>
      </c>
      <c r="D90" s="3">
        <v>45520</v>
      </c>
      <c r="E90" s="4">
        <v>0.60069444444444398</v>
      </c>
      <c r="F90" s="1">
        <v>68.2</v>
      </c>
      <c r="G90" s="1">
        <v>2520</v>
      </c>
      <c r="H90" s="1">
        <v>37</v>
      </c>
      <c r="I90" s="1" t="s">
        <v>42</v>
      </c>
      <c r="J90" s="1" t="s">
        <v>17</v>
      </c>
      <c r="K90" s="1">
        <v>4</v>
      </c>
      <c r="L90">
        <f t="shared" si="2"/>
        <v>5.8651026392961873E-2</v>
      </c>
      <c r="M90">
        <f t="shared" si="3"/>
        <v>58.651026392961874</v>
      </c>
    </row>
    <row r="91" spans="1:13" ht="14.25" customHeight="1" x14ac:dyDescent="0.25">
      <c r="A91" s="1">
        <v>2</v>
      </c>
      <c r="B91" s="1" t="s">
        <v>9</v>
      </c>
      <c r="C91" s="2" t="s">
        <v>48</v>
      </c>
      <c r="D91" s="3">
        <v>45520</v>
      </c>
      <c r="E91" s="4">
        <v>0.60069444444444398</v>
      </c>
      <c r="F91" s="1">
        <v>68.2</v>
      </c>
      <c r="G91" s="1">
        <v>2520</v>
      </c>
      <c r="H91" s="1">
        <v>37</v>
      </c>
      <c r="I91" s="1" t="s">
        <v>42</v>
      </c>
      <c r="J91" s="1" t="s">
        <v>21</v>
      </c>
      <c r="K91" s="1">
        <v>2</v>
      </c>
      <c r="L91">
        <f t="shared" si="2"/>
        <v>2.9325513196480937E-2</v>
      </c>
      <c r="M91">
        <f t="shared" si="3"/>
        <v>29.325513196480937</v>
      </c>
    </row>
    <row r="92" spans="1:13" ht="14.25" customHeight="1" x14ac:dyDescent="0.25">
      <c r="A92" s="1">
        <v>2</v>
      </c>
      <c r="B92" s="1" t="s">
        <v>9</v>
      </c>
      <c r="C92" s="2" t="s">
        <v>48</v>
      </c>
      <c r="D92" s="3">
        <v>45520</v>
      </c>
      <c r="E92" s="4">
        <v>0.60069444444444398</v>
      </c>
      <c r="F92" s="1">
        <v>68.2</v>
      </c>
      <c r="G92" s="1">
        <v>2520</v>
      </c>
      <c r="H92" s="1">
        <v>37</v>
      </c>
      <c r="I92" s="1" t="s">
        <v>18</v>
      </c>
      <c r="K92" s="1">
        <v>3</v>
      </c>
      <c r="L92">
        <f t="shared" si="2"/>
        <v>4.3988269794721403E-2</v>
      </c>
      <c r="M92">
        <f t="shared" si="3"/>
        <v>43.988269794721404</v>
      </c>
    </row>
    <row r="93" spans="1:13" ht="14.25" customHeight="1" x14ac:dyDescent="0.25">
      <c r="A93" s="1">
        <v>2</v>
      </c>
      <c r="B93" s="1" t="s">
        <v>9</v>
      </c>
      <c r="C93" s="2" t="s">
        <v>48</v>
      </c>
      <c r="D93" s="3">
        <v>45520</v>
      </c>
      <c r="E93" s="4">
        <v>0.60069444444444398</v>
      </c>
      <c r="F93" s="1">
        <v>68.2</v>
      </c>
      <c r="G93" s="1">
        <v>2520</v>
      </c>
      <c r="H93" s="1">
        <v>37</v>
      </c>
      <c r="I93" s="1" t="s">
        <v>10</v>
      </c>
      <c r="J93" s="1" t="s">
        <v>11</v>
      </c>
      <c r="K93" s="1">
        <v>1</v>
      </c>
      <c r="L93">
        <f t="shared" si="2"/>
        <v>1.4662756598240468E-2</v>
      </c>
      <c r="M93">
        <f t="shared" si="3"/>
        <v>14.662756598240469</v>
      </c>
    </row>
    <row r="94" spans="1:13" ht="14.25" customHeight="1" x14ac:dyDescent="0.25">
      <c r="A94" s="1">
        <v>3</v>
      </c>
      <c r="B94" s="1" t="s">
        <v>9</v>
      </c>
      <c r="C94" s="2" t="s">
        <v>48</v>
      </c>
      <c r="D94" s="3">
        <v>45520</v>
      </c>
      <c r="E94" s="4">
        <v>0.60069444444444398</v>
      </c>
      <c r="F94" s="1">
        <v>68.2</v>
      </c>
      <c r="G94" s="1">
        <v>2880</v>
      </c>
      <c r="H94" s="1">
        <v>42.2</v>
      </c>
      <c r="I94" s="1" t="s">
        <v>20</v>
      </c>
      <c r="K94" s="1">
        <v>18</v>
      </c>
      <c r="L94">
        <f t="shared" si="2"/>
        <v>0.26392961876832843</v>
      </c>
      <c r="M94">
        <f t="shared" si="3"/>
        <v>263.92961876832845</v>
      </c>
    </row>
    <row r="95" spans="1:13" ht="14.25" customHeight="1" x14ac:dyDescent="0.25">
      <c r="A95" s="1">
        <v>3</v>
      </c>
      <c r="B95" s="1" t="s">
        <v>9</v>
      </c>
      <c r="C95" s="2" t="s">
        <v>48</v>
      </c>
      <c r="D95" s="3">
        <v>45520</v>
      </c>
      <c r="E95" s="4">
        <v>0.60069444444444398</v>
      </c>
      <c r="F95" s="1">
        <v>68.2</v>
      </c>
      <c r="G95" s="1">
        <v>2880</v>
      </c>
      <c r="H95" s="1">
        <v>42.2</v>
      </c>
      <c r="I95" s="1" t="s">
        <v>10</v>
      </c>
      <c r="J95" s="1" t="s">
        <v>13</v>
      </c>
      <c r="K95" s="1">
        <v>11</v>
      </c>
      <c r="L95">
        <f t="shared" si="2"/>
        <v>0.16129032258064516</v>
      </c>
      <c r="M95">
        <f t="shared" si="3"/>
        <v>161.29032258064515</v>
      </c>
    </row>
    <row r="96" spans="1:13" ht="14.25" customHeight="1" x14ac:dyDescent="0.25">
      <c r="A96" s="1">
        <v>3</v>
      </c>
      <c r="B96" s="1" t="s">
        <v>9</v>
      </c>
      <c r="C96" s="2" t="s">
        <v>48</v>
      </c>
      <c r="D96" s="3">
        <v>45520</v>
      </c>
      <c r="E96" s="4">
        <v>0.60069444444444398</v>
      </c>
      <c r="F96" s="1">
        <v>68.2</v>
      </c>
      <c r="G96" s="1">
        <v>2880</v>
      </c>
      <c r="H96" s="1">
        <v>42.2</v>
      </c>
      <c r="I96" s="1" t="s">
        <v>42</v>
      </c>
      <c r="J96" s="1" t="s">
        <v>12</v>
      </c>
      <c r="K96" s="1">
        <v>13</v>
      </c>
      <c r="L96">
        <f t="shared" si="2"/>
        <v>0.1906158357771261</v>
      </c>
      <c r="M96">
        <f t="shared" si="3"/>
        <v>190.61583577712611</v>
      </c>
    </row>
    <row r="97" spans="1:13" ht="14.25" customHeight="1" x14ac:dyDescent="0.25">
      <c r="A97" s="1">
        <v>3</v>
      </c>
      <c r="B97" s="1" t="s">
        <v>9</v>
      </c>
      <c r="C97" s="2" t="s">
        <v>48</v>
      </c>
      <c r="D97" s="3">
        <v>45520</v>
      </c>
      <c r="E97" s="4">
        <v>0.60069444444444398</v>
      </c>
      <c r="F97" s="1">
        <v>68.2</v>
      </c>
      <c r="G97" s="1">
        <v>2880</v>
      </c>
      <c r="H97" s="1">
        <v>42.2</v>
      </c>
      <c r="I97" s="1" t="s">
        <v>26</v>
      </c>
      <c r="K97" s="1">
        <v>8</v>
      </c>
      <c r="L97">
        <f t="shared" si="2"/>
        <v>0.11730205278592375</v>
      </c>
      <c r="M97">
        <f t="shared" si="3"/>
        <v>117.30205278592375</v>
      </c>
    </row>
    <row r="98" spans="1:13" ht="14.25" customHeight="1" x14ac:dyDescent="0.25">
      <c r="A98" s="1">
        <v>3</v>
      </c>
      <c r="B98" s="1" t="s">
        <v>9</v>
      </c>
      <c r="C98" s="2" t="s">
        <v>48</v>
      </c>
      <c r="D98" s="3">
        <v>45520</v>
      </c>
      <c r="E98" s="4">
        <v>0.60069444444444398</v>
      </c>
      <c r="F98" s="1">
        <v>68.2</v>
      </c>
      <c r="G98" s="1">
        <v>2880</v>
      </c>
      <c r="H98" s="1">
        <v>42.2</v>
      </c>
      <c r="I98" s="1" t="s">
        <v>15</v>
      </c>
      <c r="K98" s="1">
        <v>3</v>
      </c>
      <c r="L98">
        <f t="shared" si="2"/>
        <v>4.3988269794721403E-2</v>
      </c>
      <c r="M98">
        <f t="shared" si="3"/>
        <v>43.988269794721404</v>
      </c>
    </row>
    <row r="99" spans="1:13" ht="14.25" customHeight="1" x14ac:dyDescent="0.25">
      <c r="A99" s="1">
        <v>3</v>
      </c>
      <c r="B99" s="1" t="s">
        <v>9</v>
      </c>
      <c r="C99" s="2" t="s">
        <v>48</v>
      </c>
      <c r="D99" s="3">
        <v>45520</v>
      </c>
      <c r="E99" s="4">
        <v>0.60069444444444398</v>
      </c>
      <c r="F99" s="1">
        <v>68.2</v>
      </c>
      <c r="G99" s="1">
        <v>2880</v>
      </c>
      <c r="H99" s="1">
        <v>42.2</v>
      </c>
      <c r="I99" s="1" t="s">
        <v>42</v>
      </c>
      <c r="J99" s="1" t="s">
        <v>17</v>
      </c>
      <c r="K99" s="1">
        <v>4</v>
      </c>
      <c r="L99">
        <f t="shared" si="2"/>
        <v>5.8651026392961873E-2</v>
      </c>
      <c r="M99">
        <f t="shared" si="3"/>
        <v>58.651026392961874</v>
      </c>
    </row>
    <row r="100" spans="1:13" ht="14.25" customHeight="1" x14ac:dyDescent="0.25">
      <c r="A100" s="1">
        <v>3</v>
      </c>
      <c r="B100" s="1" t="s">
        <v>9</v>
      </c>
      <c r="C100" s="2" t="s">
        <v>48</v>
      </c>
      <c r="D100" s="3">
        <v>45520</v>
      </c>
      <c r="E100" s="4">
        <v>0.60069444444444398</v>
      </c>
      <c r="F100" s="1">
        <v>68.2</v>
      </c>
      <c r="G100" s="1">
        <v>2880</v>
      </c>
      <c r="H100" s="1">
        <v>42.2</v>
      </c>
      <c r="I100" s="1" t="s">
        <v>42</v>
      </c>
      <c r="J100" s="1" t="s">
        <v>21</v>
      </c>
      <c r="K100" s="1">
        <v>2</v>
      </c>
      <c r="L100">
        <f t="shared" si="2"/>
        <v>2.9325513196480937E-2</v>
      </c>
      <c r="M100">
        <f t="shared" si="3"/>
        <v>29.325513196480937</v>
      </c>
    </row>
    <row r="101" spans="1:13" ht="14.25" customHeight="1" x14ac:dyDescent="0.25">
      <c r="A101" s="1">
        <v>3</v>
      </c>
      <c r="B101" s="1" t="s">
        <v>9</v>
      </c>
      <c r="C101" s="2" t="s">
        <v>48</v>
      </c>
      <c r="D101" s="3">
        <v>45520</v>
      </c>
      <c r="E101" s="4">
        <v>0.60069444444444398</v>
      </c>
      <c r="F101" s="1">
        <v>68.2</v>
      </c>
      <c r="G101" s="1">
        <v>2880</v>
      </c>
      <c r="H101" s="1">
        <v>42.2</v>
      </c>
      <c r="I101" s="1" t="s">
        <v>18</v>
      </c>
      <c r="K101" s="1">
        <v>3</v>
      </c>
      <c r="L101">
        <f t="shared" si="2"/>
        <v>4.3988269794721403E-2</v>
      </c>
      <c r="M101">
        <f t="shared" si="3"/>
        <v>43.988269794721404</v>
      </c>
    </row>
    <row r="102" spans="1:13" ht="14.25" customHeight="1" x14ac:dyDescent="0.25">
      <c r="A102" s="1">
        <v>3</v>
      </c>
      <c r="B102" s="1" t="s">
        <v>9</v>
      </c>
      <c r="C102" s="2" t="s">
        <v>48</v>
      </c>
      <c r="D102" s="3">
        <v>45520</v>
      </c>
      <c r="E102" s="4">
        <v>0.60069444444444398</v>
      </c>
      <c r="F102" s="1">
        <v>68.2</v>
      </c>
      <c r="G102" s="1">
        <v>2880</v>
      </c>
      <c r="H102" s="1">
        <v>42.2</v>
      </c>
      <c r="I102" s="1" t="s">
        <v>10</v>
      </c>
      <c r="J102" s="1" t="s">
        <v>11</v>
      </c>
      <c r="K102" s="1">
        <v>1</v>
      </c>
      <c r="L102">
        <f t="shared" si="2"/>
        <v>1.4662756598240468E-2</v>
      </c>
      <c r="M102">
        <f t="shared" si="3"/>
        <v>14.662756598240469</v>
      </c>
    </row>
    <row r="103" spans="1:13" ht="14.25" customHeight="1" x14ac:dyDescent="0.25">
      <c r="A103" s="1">
        <v>1</v>
      </c>
      <c r="B103" s="1" t="s">
        <v>9</v>
      </c>
      <c r="C103" s="2" t="s">
        <v>47</v>
      </c>
      <c r="D103" s="3">
        <v>45520</v>
      </c>
      <c r="E103" s="4">
        <v>0.6381944444444444</v>
      </c>
      <c r="F103" s="1">
        <v>110</v>
      </c>
      <c r="G103" s="1">
        <v>5500</v>
      </c>
      <c r="H103" s="1">
        <v>43.2</v>
      </c>
      <c r="I103" s="1" t="s">
        <v>10</v>
      </c>
      <c r="J103" s="1" t="s">
        <v>11</v>
      </c>
      <c r="K103" s="1">
        <v>36</v>
      </c>
      <c r="L103">
        <f t="shared" si="2"/>
        <v>0.32727272727272727</v>
      </c>
      <c r="M103">
        <f t="shared" si="3"/>
        <v>327.27272727272725</v>
      </c>
    </row>
    <row r="104" spans="1:13" ht="14.25" customHeight="1" x14ac:dyDescent="0.25">
      <c r="A104" s="1">
        <v>1</v>
      </c>
      <c r="B104" s="1" t="s">
        <v>9</v>
      </c>
      <c r="C104" s="2" t="s">
        <v>47</v>
      </c>
      <c r="D104" s="3">
        <v>45520</v>
      </c>
      <c r="E104" s="4">
        <v>0.6381944444444444</v>
      </c>
      <c r="F104" s="1">
        <v>110</v>
      </c>
      <c r="G104" s="1">
        <v>5500</v>
      </c>
      <c r="H104" s="1">
        <v>43.2</v>
      </c>
      <c r="I104" s="1" t="s">
        <v>42</v>
      </c>
      <c r="J104" s="1" t="s">
        <v>21</v>
      </c>
      <c r="K104" s="1">
        <v>15</v>
      </c>
      <c r="L104">
        <f t="shared" si="2"/>
        <v>0.13636363636363635</v>
      </c>
      <c r="M104">
        <f t="shared" si="3"/>
        <v>136.36363636363635</v>
      </c>
    </row>
    <row r="105" spans="1:13" ht="14.25" customHeight="1" x14ac:dyDescent="0.25">
      <c r="A105" s="1">
        <v>1</v>
      </c>
      <c r="B105" s="1" t="s">
        <v>9</v>
      </c>
      <c r="C105" s="2" t="s">
        <v>47</v>
      </c>
      <c r="D105" s="3">
        <v>45520</v>
      </c>
      <c r="E105" s="4">
        <v>0.6381944444444444</v>
      </c>
      <c r="F105" s="1">
        <v>110</v>
      </c>
      <c r="G105" s="1">
        <v>5500</v>
      </c>
      <c r="H105" s="1">
        <v>43.2</v>
      </c>
      <c r="I105" s="1" t="s">
        <v>42</v>
      </c>
      <c r="J105" s="1" t="s">
        <v>12</v>
      </c>
      <c r="K105" s="1">
        <v>28</v>
      </c>
      <c r="L105">
        <f t="shared" si="2"/>
        <v>0.25454545454545452</v>
      </c>
      <c r="M105">
        <f t="shared" si="3"/>
        <v>254.54545454545453</v>
      </c>
    </row>
    <row r="106" spans="1:13" ht="14.25" customHeight="1" x14ac:dyDescent="0.25">
      <c r="A106" s="1">
        <v>1</v>
      </c>
      <c r="B106" s="1" t="s">
        <v>9</v>
      </c>
      <c r="C106" s="2" t="s">
        <v>47</v>
      </c>
      <c r="D106" s="3">
        <v>45520</v>
      </c>
      <c r="E106" s="4">
        <v>0.6381944444444444</v>
      </c>
      <c r="F106" s="1">
        <v>110</v>
      </c>
      <c r="G106" s="1">
        <v>5500</v>
      </c>
      <c r="H106" s="1">
        <v>43.2</v>
      </c>
      <c r="I106" s="1" t="s">
        <v>18</v>
      </c>
      <c r="K106" s="1">
        <v>5</v>
      </c>
      <c r="L106">
        <f t="shared" si="2"/>
        <v>4.5454545454545456E-2</v>
      </c>
      <c r="M106">
        <f t="shared" si="3"/>
        <v>45.454545454545453</v>
      </c>
    </row>
    <row r="107" spans="1:13" ht="14.25" customHeight="1" x14ac:dyDescent="0.25">
      <c r="A107" s="1">
        <v>1</v>
      </c>
      <c r="B107" s="1" t="s">
        <v>9</v>
      </c>
      <c r="C107" s="2" t="s">
        <v>47</v>
      </c>
      <c r="D107" s="3">
        <v>45520</v>
      </c>
      <c r="E107" s="4">
        <v>0.6381944444444444</v>
      </c>
      <c r="F107" s="1">
        <v>110</v>
      </c>
      <c r="G107" s="1">
        <v>5500</v>
      </c>
      <c r="H107" s="1">
        <v>43.2</v>
      </c>
      <c r="I107" s="1" t="s">
        <v>20</v>
      </c>
      <c r="K107" s="1">
        <v>12</v>
      </c>
      <c r="L107">
        <f t="shared" si="2"/>
        <v>0.10909090909090909</v>
      </c>
      <c r="M107">
        <f t="shared" si="3"/>
        <v>109.09090909090908</v>
      </c>
    </row>
    <row r="108" spans="1:13" ht="14.25" customHeight="1" x14ac:dyDescent="0.25">
      <c r="A108" s="1">
        <v>1</v>
      </c>
      <c r="B108" s="1" t="s">
        <v>9</v>
      </c>
      <c r="C108" s="2" t="s">
        <v>47</v>
      </c>
      <c r="D108" s="3">
        <v>45520</v>
      </c>
      <c r="E108" s="4">
        <v>0.6381944444444444</v>
      </c>
      <c r="F108" s="1">
        <v>110</v>
      </c>
      <c r="G108" s="1">
        <v>5500</v>
      </c>
      <c r="H108" s="1">
        <v>43.2</v>
      </c>
      <c r="I108" s="1" t="s">
        <v>14</v>
      </c>
      <c r="K108" s="1">
        <v>1</v>
      </c>
      <c r="L108">
        <f t="shared" si="2"/>
        <v>9.0909090909090905E-3</v>
      </c>
      <c r="M108">
        <f t="shared" si="3"/>
        <v>9.0909090909090899</v>
      </c>
    </row>
    <row r="109" spans="1:13" ht="14.25" customHeight="1" x14ac:dyDescent="0.25">
      <c r="A109" s="1">
        <v>1</v>
      </c>
      <c r="B109" s="1" t="s">
        <v>9</v>
      </c>
      <c r="C109" s="2" t="s">
        <v>47</v>
      </c>
      <c r="D109" s="3">
        <v>45520</v>
      </c>
      <c r="E109" s="4">
        <v>0.6381944444444444</v>
      </c>
      <c r="F109" s="1">
        <v>110</v>
      </c>
      <c r="G109" s="1">
        <v>5500</v>
      </c>
      <c r="H109" s="1">
        <v>43.2</v>
      </c>
      <c r="I109" s="1" t="s">
        <v>27</v>
      </c>
      <c r="K109" s="1">
        <v>2</v>
      </c>
      <c r="L109">
        <f t="shared" si="2"/>
        <v>1.8181818181818181E-2</v>
      </c>
      <c r="M109">
        <f t="shared" si="3"/>
        <v>18.18181818181818</v>
      </c>
    </row>
    <row r="110" spans="1:13" ht="14.25" customHeight="1" x14ac:dyDescent="0.25">
      <c r="A110" s="1">
        <v>1</v>
      </c>
      <c r="B110" s="1" t="s">
        <v>9</v>
      </c>
      <c r="C110" s="2" t="s">
        <v>47</v>
      </c>
      <c r="D110" s="3">
        <v>45520</v>
      </c>
      <c r="E110" s="4">
        <v>0.63819444444444395</v>
      </c>
      <c r="F110" s="1">
        <v>110</v>
      </c>
      <c r="G110" s="1">
        <v>5500</v>
      </c>
      <c r="H110" s="1">
        <v>43.2</v>
      </c>
      <c r="I110" s="1" t="s">
        <v>15</v>
      </c>
      <c r="K110" s="1">
        <v>3</v>
      </c>
      <c r="L110">
        <f t="shared" si="2"/>
        <v>2.7272727272727271E-2</v>
      </c>
      <c r="M110">
        <f t="shared" si="3"/>
        <v>27.27272727272727</v>
      </c>
    </row>
    <row r="111" spans="1:13" ht="14.25" customHeight="1" x14ac:dyDescent="0.25">
      <c r="A111" s="1">
        <v>1</v>
      </c>
      <c r="B111" s="1" t="s">
        <v>9</v>
      </c>
      <c r="C111" s="2" t="s">
        <v>47</v>
      </c>
      <c r="D111" s="3">
        <v>45520</v>
      </c>
      <c r="E111" s="4">
        <v>0.63819444444444395</v>
      </c>
      <c r="F111" s="1">
        <v>110</v>
      </c>
      <c r="G111" s="1">
        <v>5500</v>
      </c>
      <c r="H111" s="1">
        <v>43.2</v>
      </c>
      <c r="I111" s="1" t="s">
        <v>10</v>
      </c>
      <c r="J111" s="1" t="s">
        <v>22</v>
      </c>
      <c r="K111" s="1">
        <v>2</v>
      </c>
      <c r="L111">
        <f t="shared" si="2"/>
        <v>1.8181818181818181E-2</v>
      </c>
      <c r="M111">
        <f t="shared" si="3"/>
        <v>18.18181818181818</v>
      </c>
    </row>
    <row r="112" spans="1:13" ht="14.25" customHeight="1" x14ac:dyDescent="0.25">
      <c r="A112" s="1">
        <v>1</v>
      </c>
      <c r="B112" s="1" t="s">
        <v>9</v>
      </c>
      <c r="C112" s="2" t="s">
        <v>47</v>
      </c>
      <c r="D112" s="3">
        <v>45520</v>
      </c>
      <c r="E112" s="4">
        <v>0.63819444444444395</v>
      </c>
      <c r="F112" s="1">
        <v>110</v>
      </c>
      <c r="G112" s="1">
        <v>5500</v>
      </c>
      <c r="H112" s="1">
        <v>43.2</v>
      </c>
      <c r="I112" s="1" t="s">
        <v>42</v>
      </c>
      <c r="J112" s="1" t="s">
        <v>17</v>
      </c>
      <c r="K112" s="1">
        <v>1</v>
      </c>
      <c r="L112">
        <f t="shared" si="2"/>
        <v>9.0909090909090905E-3</v>
      </c>
      <c r="M112">
        <f t="shared" si="3"/>
        <v>9.0909090909090899</v>
      </c>
    </row>
    <row r="113" spans="1:13" ht="14.25" customHeight="1" x14ac:dyDescent="0.25">
      <c r="A113" s="1">
        <v>1</v>
      </c>
      <c r="B113" s="1" t="s">
        <v>9</v>
      </c>
      <c r="C113" s="2" t="s">
        <v>47</v>
      </c>
      <c r="D113" s="3">
        <v>45520</v>
      </c>
      <c r="E113" s="4">
        <v>0.63819444444444395</v>
      </c>
      <c r="F113" s="1">
        <v>110</v>
      </c>
      <c r="G113" s="1">
        <v>5500</v>
      </c>
      <c r="H113" s="1">
        <v>43.2</v>
      </c>
      <c r="I113" s="1" t="s">
        <v>24</v>
      </c>
      <c r="K113" s="1">
        <v>4</v>
      </c>
      <c r="L113">
        <f t="shared" si="2"/>
        <v>3.6363636363636362E-2</v>
      </c>
      <c r="M113">
        <f t="shared" si="3"/>
        <v>36.36363636363636</v>
      </c>
    </row>
    <row r="114" spans="1:13" ht="14.25" customHeight="1" x14ac:dyDescent="0.25">
      <c r="A114" s="1">
        <v>2</v>
      </c>
      <c r="B114" s="1" t="s">
        <v>9</v>
      </c>
      <c r="C114" s="2" t="s">
        <v>47</v>
      </c>
      <c r="D114" s="3">
        <v>45520</v>
      </c>
      <c r="E114" s="4">
        <v>0.63819444444444395</v>
      </c>
      <c r="F114" s="1">
        <v>110</v>
      </c>
      <c r="G114" s="1">
        <v>8100</v>
      </c>
      <c r="H114" s="1">
        <v>63.5</v>
      </c>
      <c r="I114" s="1" t="s">
        <v>20</v>
      </c>
      <c r="K114" s="1">
        <v>36</v>
      </c>
      <c r="L114">
        <f t="shared" si="2"/>
        <v>0.32727272727272727</v>
      </c>
      <c r="M114">
        <f t="shared" si="3"/>
        <v>327.27272727272725</v>
      </c>
    </row>
    <row r="115" spans="1:13" ht="14.25" customHeight="1" x14ac:dyDescent="0.25">
      <c r="A115" s="1">
        <v>2</v>
      </c>
      <c r="B115" s="1" t="s">
        <v>9</v>
      </c>
      <c r="C115" s="2" t="s">
        <v>47</v>
      </c>
      <c r="D115" s="3">
        <v>45520</v>
      </c>
      <c r="E115" s="4">
        <v>0.63819444444444395</v>
      </c>
      <c r="F115" s="1">
        <v>110</v>
      </c>
      <c r="G115" s="1">
        <v>8100</v>
      </c>
      <c r="H115" s="1">
        <v>63.5</v>
      </c>
      <c r="I115" s="1" t="s">
        <v>10</v>
      </c>
      <c r="J115" s="1" t="s">
        <v>11</v>
      </c>
      <c r="K115" s="1">
        <v>36</v>
      </c>
      <c r="L115">
        <f t="shared" si="2"/>
        <v>0.32727272727272727</v>
      </c>
      <c r="M115">
        <f t="shared" si="3"/>
        <v>327.27272727272725</v>
      </c>
    </row>
    <row r="116" spans="1:13" ht="14.25" customHeight="1" x14ac:dyDescent="0.25">
      <c r="A116" s="1">
        <v>2</v>
      </c>
      <c r="B116" s="1" t="s">
        <v>9</v>
      </c>
      <c r="C116" s="2" t="s">
        <v>47</v>
      </c>
      <c r="D116" s="3">
        <v>45520</v>
      </c>
      <c r="E116" s="4">
        <v>0.63819444444444395</v>
      </c>
      <c r="F116" s="1">
        <v>110</v>
      </c>
      <c r="G116" s="1">
        <v>8100</v>
      </c>
      <c r="H116" s="1">
        <v>63.5</v>
      </c>
      <c r="I116" s="1" t="s">
        <v>42</v>
      </c>
      <c r="J116" s="1" t="s">
        <v>12</v>
      </c>
      <c r="K116" s="1">
        <v>40</v>
      </c>
      <c r="L116">
        <f t="shared" si="2"/>
        <v>0.36363636363636365</v>
      </c>
      <c r="M116">
        <f t="shared" si="3"/>
        <v>363.63636363636363</v>
      </c>
    </row>
    <row r="117" spans="1:13" ht="14.25" customHeight="1" x14ac:dyDescent="0.25">
      <c r="A117" s="1">
        <v>2</v>
      </c>
      <c r="B117" s="1" t="s">
        <v>9</v>
      </c>
      <c r="C117" s="2" t="s">
        <v>47</v>
      </c>
      <c r="D117" s="3">
        <v>45520</v>
      </c>
      <c r="E117" s="4">
        <v>0.63819444444444395</v>
      </c>
      <c r="F117" s="1">
        <v>110</v>
      </c>
      <c r="G117" s="1">
        <v>8100</v>
      </c>
      <c r="H117" s="1">
        <v>63.5</v>
      </c>
      <c r="I117" s="1" t="s">
        <v>15</v>
      </c>
      <c r="K117" s="1">
        <v>5</v>
      </c>
      <c r="L117">
        <f t="shared" si="2"/>
        <v>4.5454545454545456E-2</v>
      </c>
      <c r="M117">
        <f t="shared" si="3"/>
        <v>45.454545454545453</v>
      </c>
    </row>
    <row r="118" spans="1:13" ht="14.25" customHeight="1" x14ac:dyDescent="0.25">
      <c r="A118" s="1">
        <v>2</v>
      </c>
      <c r="B118" s="1" t="s">
        <v>9</v>
      </c>
      <c r="C118" s="2" t="s">
        <v>47</v>
      </c>
      <c r="D118" s="3">
        <v>45520</v>
      </c>
      <c r="E118" s="4">
        <v>0.63819444444444395</v>
      </c>
      <c r="F118" s="1">
        <v>110</v>
      </c>
      <c r="G118" s="1">
        <v>8100</v>
      </c>
      <c r="H118" s="1">
        <v>63.5</v>
      </c>
      <c r="I118" s="1" t="s">
        <v>18</v>
      </c>
      <c r="K118" s="1">
        <v>12</v>
      </c>
      <c r="L118">
        <f t="shared" si="2"/>
        <v>0.10909090909090909</v>
      </c>
      <c r="M118">
        <f t="shared" si="3"/>
        <v>109.09090909090908</v>
      </c>
    </row>
    <row r="119" spans="1:13" ht="14.25" customHeight="1" x14ac:dyDescent="0.25">
      <c r="A119" s="1">
        <v>2</v>
      </c>
      <c r="B119" s="1" t="s">
        <v>9</v>
      </c>
      <c r="C119" s="2" t="s">
        <v>47</v>
      </c>
      <c r="D119" s="3">
        <v>45520</v>
      </c>
      <c r="E119" s="4">
        <v>0.63819444444444395</v>
      </c>
      <c r="F119" s="1">
        <v>110</v>
      </c>
      <c r="G119" s="1">
        <v>8100</v>
      </c>
      <c r="H119" s="1">
        <v>63.5</v>
      </c>
      <c r="I119" s="1" t="s">
        <v>10</v>
      </c>
      <c r="J119" s="1" t="s">
        <v>13</v>
      </c>
      <c r="K119" s="1">
        <v>5</v>
      </c>
      <c r="L119">
        <f t="shared" si="2"/>
        <v>4.5454545454545456E-2</v>
      </c>
      <c r="M119">
        <f t="shared" si="3"/>
        <v>45.454545454545453</v>
      </c>
    </row>
    <row r="120" spans="1:13" ht="14.25" customHeight="1" x14ac:dyDescent="0.25">
      <c r="A120" s="1">
        <v>2</v>
      </c>
      <c r="B120" s="1" t="s">
        <v>9</v>
      </c>
      <c r="C120" s="2" t="s">
        <v>47</v>
      </c>
      <c r="D120" s="3">
        <v>45520</v>
      </c>
      <c r="E120" s="4">
        <v>0.63819444444444395</v>
      </c>
      <c r="F120" s="1">
        <v>110</v>
      </c>
      <c r="G120" s="1">
        <v>8100</v>
      </c>
      <c r="H120" s="1">
        <v>63.5</v>
      </c>
      <c r="I120" s="1" t="s">
        <v>42</v>
      </c>
      <c r="J120" s="1" t="s">
        <v>17</v>
      </c>
      <c r="K120" s="1">
        <v>7</v>
      </c>
      <c r="L120">
        <f t="shared" si="2"/>
        <v>6.363636363636363E-2</v>
      </c>
      <c r="M120">
        <f t="shared" si="3"/>
        <v>63.636363636363633</v>
      </c>
    </row>
    <row r="121" spans="1:13" ht="14.25" customHeight="1" x14ac:dyDescent="0.25">
      <c r="A121" s="1">
        <v>2</v>
      </c>
      <c r="B121" s="1" t="s">
        <v>9</v>
      </c>
      <c r="C121" s="2" t="s">
        <v>47</v>
      </c>
      <c r="D121" s="3">
        <v>45520</v>
      </c>
      <c r="E121" s="4">
        <v>0.63819444444444395</v>
      </c>
      <c r="F121" s="1">
        <v>110</v>
      </c>
      <c r="G121" s="1">
        <v>8100</v>
      </c>
      <c r="H121" s="1">
        <v>63.5</v>
      </c>
      <c r="I121" s="1" t="s">
        <v>27</v>
      </c>
      <c r="K121" s="1">
        <v>3</v>
      </c>
      <c r="L121">
        <f t="shared" si="2"/>
        <v>2.7272727272727271E-2</v>
      </c>
      <c r="M121">
        <f t="shared" si="3"/>
        <v>27.27272727272727</v>
      </c>
    </row>
    <row r="122" spans="1:13" ht="14.25" customHeight="1" x14ac:dyDescent="0.25">
      <c r="A122" s="1">
        <v>2</v>
      </c>
      <c r="B122" s="1" t="s">
        <v>9</v>
      </c>
      <c r="C122" s="2" t="s">
        <v>47</v>
      </c>
      <c r="D122" s="3">
        <v>45520</v>
      </c>
      <c r="E122" s="4">
        <v>0.63819444444444395</v>
      </c>
      <c r="F122" s="1">
        <v>110</v>
      </c>
      <c r="G122" s="1">
        <v>8100</v>
      </c>
      <c r="H122" s="1">
        <v>63.5</v>
      </c>
      <c r="I122" s="1" t="s">
        <v>15</v>
      </c>
      <c r="J122" s="1" t="s">
        <v>16</v>
      </c>
      <c r="K122" s="1">
        <v>1</v>
      </c>
      <c r="L122">
        <f t="shared" si="2"/>
        <v>9.0909090909090905E-3</v>
      </c>
      <c r="M122">
        <f t="shared" si="3"/>
        <v>9.0909090909090899</v>
      </c>
    </row>
    <row r="123" spans="1:13" ht="14.25" customHeight="1" x14ac:dyDescent="0.25">
      <c r="A123" s="1">
        <v>2</v>
      </c>
      <c r="B123" s="1" t="s">
        <v>9</v>
      </c>
      <c r="C123" s="2" t="s">
        <v>47</v>
      </c>
      <c r="D123" s="3">
        <v>45520</v>
      </c>
      <c r="E123" s="4">
        <v>0.63819444444444395</v>
      </c>
      <c r="F123" s="1">
        <v>110</v>
      </c>
      <c r="G123" s="1">
        <v>8100</v>
      </c>
      <c r="H123" s="1">
        <v>63.5</v>
      </c>
      <c r="I123" s="1" t="s">
        <v>42</v>
      </c>
      <c r="J123" s="1" t="s">
        <v>21</v>
      </c>
      <c r="K123" s="1">
        <v>10</v>
      </c>
      <c r="L123">
        <f t="shared" si="2"/>
        <v>9.0909090909090912E-2</v>
      </c>
      <c r="M123">
        <f t="shared" si="3"/>
        <v>90.909090909090907</v>
      </c>
    </row>
    <row r="124" spans="1:13" ht="14.25" customHeight="1" x14ac:dyDescent="0.25">
      <c r="A124" s="1">
        <v>2</v>
      </c>
      <c r="B124" s="1" t="s">
        <v>9</v>
      </c>
      <c r="C124" s="2" t="s">
        <v>47</v>
      </c>
      <c r="D124" s="3">
        <v>45520</v>
      </c>
      <c r="E124" s="4">
        <v>0.63819444444444395</v>
      </c>
      <c r="F124" s="1">
        <v>110</v>
      </c>
      <c r="G124" s="1">
        <v>8100</v>
      </c>
      <c r="H124" s="1">
        <v>63.5</v>
      </c>
      <c r="I124" s="1" t="s">
        <v>24</v>
      </c>
      <c r="K124" s="1">
        <v>7</v>
      </c>
      <c r="L124">
        <f t="shared" si="2"/>
        <v>6.363636363636363E-2</v>
      </c>
      <c r="M124">
        <f t="shared" si="3"/>
        <v>63.636363636363633</v>
      </c>
    </row>
    <row r="125" spans="1:13" ht="14.25" customHeight="1" x14ac:dyDescent="0.25">
      <c r="A125" s="1">
        <v>3</v>
      </c>
      <c r="B125" s="1" t="s">
        <v>9</v>
      </c>
      <c r="C125" s="2" t="s">
        <v>47</v>
      </c>
      <c r="D125" s="3">
        <v>45520</v>
      </c>
      <c r="E125" s="4">
        <v>0.63819444444444395</v>
      </c>
      <c r="F125" s="1">
        <v>110</v>
      </c>
      <c r="G125" s="1">
        <v>7400</v>
      </c>
      <c r="H125" s="1">
        <v>58.1</v>
      </c>
      <c r="I125" s="1" t="s">
        <v>20</v>
      </c>
      <c r="K125" s="1">
        <v>29</v>
      </c>
      <c r="L125">
        <f t="shared" si="2"/>
        <v>0.26363636363636361</v>
      </c>
      <c r="M125">
        <f t="shared" si="3"/>
        <v>263.63636363636363</v>
      </c>
    </row>
    <row r="126" spans="1:13" ht="14.25" customHeight="1" x14ac:dyDescent="0.25">
      <c r="A126" s="1">
        <v>3</v>
      </c>
      <c r="B126" s="1" t="s">
        <v>9</v>
      </c>
      <c r="C126" s="2" t="s">
        <v>47</v>
      </c>
      <c r="D126" s="3">
        <v>45520</v>
      </c>
      <c r="E126" s="4">
        <v>0.63819444444444395</v>
      </c>
      <c r="F126" s="1">
        <v>110</v>
      </c>
      <c r="G126" s="1">
        <v>7400</v>
      </c>
      <c r="H126" s="1">
        <v>58.1</v>
      </c>
      <c r="I126" s="1" t="s">
        <v>10</v>
      </c>
      <c r="J126" s="1" t="s">
        <v>11</v>
      </c>
      <c r="K126" s="1">
        <v>40</v>
      </c>
      <c r="L126">
        <f t="shared" si="2"/>
        <v>0.36363636363636365</v>
      </c>
      <c r="M126">
        <f t="shared" si="3"/>
        <v>363.63636363636363</v>
      </c>
    </row>
    <row r="127" spans="1:13" ht="14.25" customHeight="1" x14ac:dyDescent="0.25">
      <c r="A127" s="1">
        <v>3</v>
      </c>
      <c r="B127" s="1" t="s">
        <v>9</v>
      </c>
      <c r="C127" s="2" t="s">
        <v>47</v>
      </c>
      <c r="D127" s="3">
        <v>45520</v>
      </c>
      <c r="E127" s="4">
        <v>0.63819444444444395</v>
      </c>
      <c r="F127" s="1">
        <v>110</v>
      </c>
      <c r="G127" s="1">
        <v>7400</v>
      </c>
      <c r="H127" s="1">
        <v>58.1</v>
      </c>
      <c r="I127" s="1" t="s">
        <v>42</v>
      </c>
      <c r="J127" s="1" t="s">
        <v>21</v>
      </c>
      <c r="K127" s="1">
        <v>14</v>
      </c>
      <c r="L127">
        <f t="shared" si="2"/>
        <v>0.12727272727272726</v>
      </c>
      <c r="M127">
        <f t="shared" si="3"/>
        <v>127.27272727272727</v>
      </c>
    </row>
    <row r="128" spans="1:13" ht="14.25" customHeight="1" x14ac:dyDescent="0.25">
      <c r="A128" s="1">
        <v>3</v>
      </c>
      <c r="B128" s="1" t="s">
        <v>9</v>
      </c>
      <c r="C128" s="2" t="s">
        <v>47</v>
      </c>
      <c r="D128" s="3">
        <v>45520</v>
      </c>
      <c r="E128" s="4">
        <v>0.63819444444444395</v>
      </c>
      <c r="F128" s="1">
        <v>110</v>
      </c>
      <c r="G128" s="1">
        <v>7400</v>
      </c>
      <c r="H128" s="1">
        <v>58.1</v>
      </c>
      <c r="I128" s="1" t="s">
        <v>42</v>
      </c>
      <c r="J128" s="1" t="s">
        <v>12</v>
      </c>
      <c r="K128" s="1">
        <v>22</v>
      </c>
      <c r="L128">
        <f t="shared" si="2"/>
        <v>0.2</v>
      </c>
      <c r="M128">
        <f t="shared" si="3"/>
        <v>200</v>
      </c>
    </row>
    <row r="129" spans="1:13" ht="14.25" customHeight="1" x14ac:dyDescent="0.25">
      <c r="A129" s="1">
        <v>3</v>
      </c>
      <c r="B129" s="1" t="s">
        <v>9</v>
      </c>
      <c r="C129" s="2" t="s">
        <v>47</v>
      </c>
      <c r="D129" s="3">
        <v>45520</v>
      </c>
      <c r="E129" s="4">
        <v>0.63819444444444395</v>
      </c>
      <c r="F129" s="1">
        <v>110</v>
      </c>
      <c r="G129" s="1">
        <v>7400</v>
      </c>
      <c r="H129" s="1">
        <v>58.1</v>
      </c>
      <c r="I129" s="1" t="s">
        <v>14</v>
      </c>
      <c r="K129" s="1">
        <v>1</v>
      </c>
      <c r="L129">
        <f t="shared" si="2"/>
        <v>9.0909090909090905E-3</v>
      </c>
      <c r="M129">
        <f t="shared" si="3"/>
        <v>9.0909090909090899</v>
      </c>
    </row>
    <row r="130" spans="1:13" ht="14.25" customHeight="1" x14ac:dyDescent="0.25">
      <c r="A130" s="1">
        <v>3</v>
      </c>
      <c r="B130" s="1" t="s">
        <v>9</v>
      </c>
      <c r="C130" s="2" t="s">
        <v>47</v>
      </c>
      <c r="D130" s="3">
        <v>45520</v>
      </c>
      <c r="E130" s="4">
        <v>0.63819444444444395</v>
      </c>
      <c r="F130" s="1">
        <v>110</v>
      </c>
      <c r="G130" s="1">
        <v>7400</v>
      </c>
      <c r="H130" s="1">
        <v>58.1</v>
      </c>
      <c r="I130" s="1" t="s">
        <v>42</v>
      </c>
      <c r="J130" s="1" t="s">
        <v>17</v>
      </c>
      <c r="K130" s="1">
        <v>8</v>
      </c>
      <c r="L130">
        <f t="shared" si="2"/>
        <v>7.2727272727272724E-2</v>
      </c>
      <c r="M130">
        <f t="shared" si="3"/>
        <v>72.72727272727272</v>
      </c>
    </row>
    <row r="131" spans="1:13" ht="14.25" customHeight="1" x14ac:dyDescent="0.25">
      <c r="A131" s="1">
        <v>3</v>
      </c>
      <c r="B131" s="1" t="s">
        <v>9</v>
      </c>
      <c r="C131" s="2" t="s">
        <v>47</v>
      </c>
      <c r="D131" s="3">
        <v>45520</v>
      </c>
      <c r="E131" s="4">
        <v>0.63819444444444395</v>
      </c>
      <c r="F131" s="1">
        <v>110</v>
      </c>
      <c r="G131" s="1">
        <v>7400</v>
      </c>
      <c r="H131" s="1">
        <v>58.1</v>
      </c>
      <c r="I131" s="1" t="s">
        <v>18</v>
      </c>
      <c r="K131" s="1">
        <v>13</v>
      </c>
      <c r="L131">
        <f t="shared" ref="L131:L194" si="4">(K131/F131)</f>
        <v>0.11818181818181818</v>
      </c>
      <c r="M131">
        <f t="shared" si="3"/>
        <v>118.18181818181817</v>
      </c>
    </row>
    <row r="132" spans="1:13" ht="14.25" customHeight="1" x14ac:dyDescent="0.25">
      <c r="A132" s="1">
        <v>3</v>
      </c>
      <c r="B132" s="1" t="s">
        <v>9</v>
      </c>
      <c r="C132" s="2" t="s">
        <v>47</v>
      </c>
      <c r="D132" s="3">
        <v>45520</v>
      </c>
      <c r="E132" s="4">
        <v>0.63819444444444395</v>
      </c>
      <c r="F132" s="1">
        <v>110</v>
      </c>
      <c r="G132" s="1">
        <v>7400</v>
      </c>
      <c r="H132" s="1">
        <v>58.1</v>
      </c>
      <c r="I132" s="1" t="s">
        <v>24</v>
      </c>
      <c r="K132" s="1">
        <v>8</v>
      </c>
      <c r="L132">
        <f t="shared" si="4"/>
        <v>7.2727272727272724E-2</v>
      </c>
      <c r="M132">
        <f t="shared" si="3"/>
        <v>72.72727272727272</v>
      </c>
    </row>
    <row r="133" spans="1:13" ht="14.25" customHeight="1" x14ac:dyDescent="0.25">
      <c r="A133" s="1">
        <v>3</v>
      </c>
      <c r="B133" s="1" t="s">
        <v>9</v>
      </c>
      <c r="C133" s="2" t="s">
        <v>47</v>
      </c>
      <c r="D133" s="3">
        <v>45520</v>
      </c>
      <c r="E133" s="4">
        <v>0.63819444444444395</v>
      </c>
      <c r="F133" s="1">
        <v>110</v>
      </c>
      <c r="G133" s="1">
        <v>7400</v>
      </c>
      <c r="H133" s="1">
        <v>58.1</v>
      </c>
      <c r="I133" s="1" t="s">
        <v>10</v>
      </c>
      <c r="J133" s="1" t="s">
        <v>13</v>
      </c>
      <c r="K133" s="1">
        <v>3</v>
      </c>
      <c r="L133">
        <f t="shared" si="4"/>
        <v>2.7272727272727271E-2</v>
      </c>
      <c r="M133">
        <f t="shared" ref="M133:M196" si="5">L133*1000</f>
        <v>27.27272727272727</v>
      </c>
    </row>
    <row r="134" spans="1:13" ht="14.25" customHeight="1" x14ac:dyDescent="0.25">
      <c r="A134" s="1">
        <v>3</v>
      </c>
      <c r="B134" s="1" t="s">
        <v>9</v>
      </c>
      <c r="C134" s="2" t="s">
        <v>47</v>
      </c>
      <c r="D134" s="3">
        <v>45520</v>
      </c>
      <c r="E134" s="4">
        <v>0.63819444444444395</v>
      </c>
      <c r="F134" s="1">
        <v>110</v>
      </c>
      <c r="G134" s="1">
        <v>7400</v>
      </c>
      <c r="H134" s="1">
        <v>58.1</v>
      </c>
      <c r="I134" s="1" t="s">
        <v>27</v>
      </c>
      <c r="K134" s="1">
        <v>1</v>
      </c>
      <c r="L134">
        <f t="shared" si="4"/>
        <v>9.0909090909090905E-3</v>
      </c>
      <c r="M134">
        <f t="shared" si="5"/>
        <v>9.0909090909090899</v>
      </c>
    </row>
    <row r="135" spans="1:13" ht="14.25" customHeight="1" x14ac:dyDescent="0.25">
      <c r="A135" s="1">
        <v>3</v>
      </c>
      <c r="B135" s="1" t="s">
        <v>9</v>
      </c>
      <c r="C135" s="2" t="s">
        <v>47</v>
      </c>
      <c r="D135" s="3">
        <v>45520</v>
      </c>
      <c r="E135" s="4">
        <v>0.63819444444444395</v>
      </c>
      <c r="F135" s="1">
        <v>110</v>
      </c>
      <c r="G135" s="1">
        <v>7400</v>
      </c>
      <c r="H135" s="1">
        <v>58.1</v>
      </c>
      <c r="I135" s="1" t="s">
        <v>14</v>
      </c>
      <c r="K135" s="1">
        <v>1</v>
      </c>
      <c r="L135">
        <f t="shared" si="4"/>
        <v>9.0909090909090905E-3</v>
      </c>
      <c r="M135">
        <f t="shared" si="5"/>
        <v>9.0909090909090899</v>
      </c>
    </row>
    <row r="136" spans="1:13" ht="14.25" customHeight="1" x14ac:dyDescent="0.25">
      <c r="A136" s="1">
        <v>3</v>
      </c>
      <c r="B136" s="1" t="s">
        <v>9</v>
      </c>
      <c r="C136" s="2" t="s">
        <v>47</v>
      </c>
      <c r="D136" s="3">
        <v>45520</v>
      </c>
      <c r="E136" s="4">
        <v>0.63819444444444395</v>
      </c>
      <c r="F136" s="1">
        <v>110</v>
      </c>
      <c r="G136" s="1">
        <v>7400</v>
      </c>
      <c r="H136" s="1">
        <v>58.1</v>
      </c>
      <c r="I136" s="1" t="s">
        <v>15</v>
      </c>
      <c r="K136" s="1">
        <v>2</v>
      </c>
      <c r="L136">
        <f t="shared" si="4"/>
        <v>1.8181818181818181E-2</v>
      </c>
      <c r="M136">
        <f t="shared" si="5"/>
        <v>18.18181818181818</v>
      </c>
    </row>
    <row r="137" spans="1:13" ht="14.25" customHeight="1" x14ac:dyDescent="0.25">
      <c r="A137" s="1">
        <v>3</v>
      </c>
      <c r="B137" s="1" t="s">
        <v>9</v>
      </c>
      <c r="C137" s="2" t="s">
        <v>47</v>
      </c>
      <c r="D137" s="3">
        <v>45520</v>
      </c>
      <c r="E137" s="4">
        <v>0.63819444444444395</v>
      </c>
      <c r="F137" s="1">
        <v>110</v>
      </c>
      <c r="G137" s="1">
        <v>7400</v>
      </c>
      <c r="H137" s="1">
        <v>58.1</v>
      </c>
      <c r="I137" s="1" t="s">
        <v>15</v>
      </c>
      <c r="J137" s="1" t="s">
        <v>16</v>
      </c>
      <c r="K137" s="1">
        <v>1</v>
      </c>
      <c r="L137">
        <f t="shared" si="4"/>
        <v>9.0909090909090905E-3</v>
      </c>
      <c r="M137">
        <f t="shared" si="5"/>
        <v>9.0909090909090899</v>
      </c>
    </row>
    <row r="138" spans="1:13" ht="14.25" customHeight="1" x14ac:dyDescent="0.25">
      <c r="A138" s="1">
        <v>1</v>
      </c>
      <c r="B138" s="1" t="s">
        <v>9</v>
      </c>
      <c r="C138" s="2" t="s">
        <v>49</v>
      </c>
      <c r="D138" s="3">
        <v>45561</v>
      </c>
      <c r="E138" s="7">
        <v>0.52361111111111114</v>
      </c>
      <c r="F138" s="1">
        <v>153.1</v>
      </c>
      <c r="G138" s="1">
        <v>1575</v>
      </c>
      <c r="H138" s="1">
        <v>10.3</v>
      </c>
      <c r="I138" s="1" t="s">
        <v>20</v>
      </c>
      <c r="K138" s="1">
        <v>8</v>
      </c>
      <c r="L138">
        <f t="shared" si="4"/>
        <v>5.2253429131286742E-2</v>
      </c>
      <c r="M138">
        <f t="shared" si="5"/>
        <v>52.253429131286744</v>
      </c>
    </row>
    <row r="139" spans="1:13" ht="14.25" customHeight="1" x14ac:dyDescent="0.25">
      <c r="A139" s="1">
        <v>1</v>
      </c>
      <c r="B139" s="1" t="s">
        <v>9</v>
      </c>
      <c r="C139" s="2" t="s">
        <v>49</v>
      </c>
      <c r="D139" s="3">
        <v>45561</v>
      </c>
      <c r="E139" s="7">
        <v>0.52361111111111114</v>
      </c>
      <c r="F139" s="1">
        <v>153.1</v>
      </c>
      <c r="G139" s="1">
        <v>1575</v>
      </c>
      <c r="H139" s="1">
        <v>10.3</v>
      </c>
      <c r="I139" s="1" t="s">
        <v>14</v>
      </c>
      <c r="K139" s="1">
        <v>2</v>
      </c>
      <c r="L139">
        <f t="shared" si="4"/>
        <v>1.3063357282821686E-2</v>
      </c>
      <c r="M139">
        <f t="shared" si="5"/>
        <v>13.063357282821686</v>
      </c>
    </row>
    <row r="140" spans="1:13" ht="14.25" customHeight="1" x14ac:dyDescent="0.25">
      <c r="A140" s="1">
        <v>1</v>
      </c>
      <c r="B140" s="1" t="s">
        <v>9</v>
      </c>
      <c r="C140" s="2" t="s">
        <v>49</v>
      </c>
      <c r="D140" s="3">
        <v>45561</v>
      </c>
      <c r="E140" s="7">
        <v>0.52361111111111114</v>
      </c>
      <c r="F140" s="1">
        <v>153.1</v>
      </c>
      <c r="G140" s="1">
        <v>1575</v>
      </c>
      <c r="H140" s="1">
        <v>10.3</v>
      </c>
      <c r="I140" s="1" t="s">
        <v>42</v>
      </c>
      <c r="J140" s="1" t="s">
        <v>12</v>
      </c>
      <c r="K140" s="1">
        <v>6</v>
      </c>
      <c r="L140">
        <f t="shared" si="4"/>
        <v>3.9190071848465055E-2</v>
      </c>
      <c r="M140">
        <f t="shared" si="5"/>
        <v>39.190071848465053</v>
      </c>
    </row>
    <row r="141" spans="1:13" ht="14.25" customHeight="1" x14ac:dyDescent="0.25">
      <c r="A141" s="1">
        <v>1</v>
      </c>
      <c r="B141" s="1" t="s">
        <v>9</v>
      </c>
      <c r="C141" s="2" t="s">
        <v>49</v>
      </c>
      <c r="D141" s="3">
        <v>45561</v>
      </c>
      <c r="E141" s="7">
        <v>0.52361111111111103</v>
      </c>
      <c r="F141" s="1">
        <v>153.1</v>
      </c>
      <c r="G141" s="1">
        <v>1575</v>
      </c>
      <c r="H141" s="1">
        <v>10.3</v>
      </c>
      <c r="I141" s="1" t="s">
        <v>15</v>
      </c>
      <c r="K141" s="1">
        <v>18</v>
      </c>
      <c r="L141">
        <f t="shared" si="4"/>
        <v>0.11757021554539517</v>
      </c>
      <c r="M141">
        <f t="shared" si="5"/>
        <v>117.57021554539517</v>
      </c>
    </row>
    <row r="142" spans="1:13" ht="14.25" customHeight="1" x14ac:dyDescent="0.25">
      <c r="A142" s="1">
        <v>1</v>
      </c>
      <c r="B142" s="1" t="s">
        <v>9</v>
      </c>
      <c r="C142" s="2" t="s">
        <v>49</v>
      </c>
      <c r="D142" s="3">
        <v>45561</v>
      </c>
      <c r="E142" s="7">
        <v>0.52361111111111103</v>
      </c>
      <c r="F142" s="1">
        <v>153.1</v>
      </c>
      <c r="G142" s="1">
        <v>1575</v>
      </c>
      <c r="H142" s="1">
        <v>10.3</v>
      </c>
      <c r="I142" s="1" t="s">
        <v>10</v>
      </c>
      <c r="J142" s="1" t="s">
        <v>13</v>
      </c>
      <c r="K142" s="1">
        <v>1</v>
      </c>
      <c r="L142">
        <f t="shared" si="4"/>
        <v>6.5316786414108428E-3</v>
      </c>
      <c r="M142">
        <f t="shared" si="5"/>
        <v>6.531678641410843</v>
      </c>
    </row>
    <row r="143" spans="1:13" ht="14.25" customHeight="1" x14ac:dyDescent="0.25">
      <c r="A143" s="1">
        <v>1</v>
      </c>
      <c r="B143" s="1" t="s">
        <v>9</v>
      </c>
      <c r="C143" s="2" t="s">
        <v>49</v>
      </c>
      <c r="D143" s="3">
        <v>45561</v>
      </c>
      <c r="E143" s="7">
        <v>0.52361111111111103</v>
      </c>
      <c r="F143" s="1">
        <v>153.1</v>
      </c>
      <c r="G143" s="1">
        <v>1575</v>
      </c>
      <c r="H143" s="1">
        <v>10.3</v>
      </c>
      <c r="I143" s="1" t="s">
        <v>18</v>
      </c>
      <c r="K143" s="1">
        <v>3</v>
      </c>
      <c r="L143">
        <f t="shared" si="4"/>
        <v>1.9595035924232528E-2</v>
      </c>
      <c r="M143">
        <f t="shared" si="5"/>
        <v>19.595035924232526</v>
      </c>
    </row>
    <row r="144" spans="1:13" ht="14.25" customHeight="1" x14ac:dyDescent="0.25">
      <c r="A144" s="1">
        <v>1</v>
      </c>
      <c r="B144" s="1" t="s">
        <v>9</v>
      </c>
      <c r="C144" s="2" t="s">
        <v>49</v>
      </c>
      <c r="D144" s="3">
        <v>45561</v>
      </c>
      <c r="E144" s="7">
        <v>0.52361111111111103</v>
      </c>
      <c r="F144" s="1">
        <v>153.1</v>
      </c>
      <c r="G144" s="1">
        <v>1575</v>
      </c>
      <c r="H144" s="1">
        <v>10.3</v>
      </c>
      <c r="I144" s="1" t="s">
        <v>15</v>
      </c>
      <c r="J144" s="1" t="s">
        <v>16</v>
      </c>
      <c r="K144" s="1">
        <v>2</v>
      </c>
      <c r="L144">
        <f t="shared" si="4"/>
        <v>1.3063357282821686E-2</v>
      </c>
      <c r="M144">
        <f t="shared" si="5"/>
        <v>13.063357282821686</v>
      </c>
    </row>
    <row r="145" spans="1:13" ht="14.25" customHeight="1" x14ac:dyDescent="0.25">
      <c r="A145" s="1">
        <v>1</v>
      </c>
      <c r="B145" s="1" t="s">
        <v>9</v>
      </c>
      <c r="C145" s="2" t="s">
        <v>49</v>
      </c>
      <c r="D145" s="3">
        <v>45561</v>
      </c>
      <c r="E145" s="7">
        <v>0.52361111111111103</v>
      </c>
      <c r="F145" s="1">
        <v>153.1</v>
      </c>
      <c r="G145" s="1">
        <v>1575</v>
      </c>
      <c r="H145" s="1">
        <v>10.3</v>
      </c>
      <c r="I145" s="1" t="s">
        <v>42</v>
      </c>
      <c r="J145" s="1" t="s">
        <v>21</v>
      </c>
      <c r="K145" s="1">
        <v>1</v>
      </c>
      <c r="L145">
        <f t="shared" si="4"/>
        <v>6.5316786414108428E-3</v>
      </c>
      <c r="M145">
        <f t="shared" si="5"/>
        <v>6.531678641410843</v>
      </c>
    </row>
    <row r="146" spans="1:13" ht="14.25" customHeight="1" x14ac:dyDescent="0.25">
      <c r="A146" s="1">
        <v>1</v>
      </c>
      <c r="B146" s="1" t="s">
        <v>9</v>
      </c>
      <c r="C146" s="2" t="s">
        <v>49</v>
      </c>
      <c r="D146" s="3">
        <v>45561</v>
      </c>
      <c r="E146" s="7">
        <v>0.52361111111111103</v>
      </c>
      <c r="F146" s="1">
        <v>153.1</v>
      </c>
      <c r="G146" s="1">
        <v>1575</v>
      </c>
      <c r="H146" s="1">
        <v>10.3</v>
      </c>
      <c r="I146" s="1" t="s">
        <v>10</v>
      </c>
      <c r="J146" s="1" t="s">
        <v>11</v>
      </c>
      <c r="K146" s="1">
        <v>1</v>
      </c>
      <c r="L146">
        <f t="shared" si="4"/>
        <v>6.5316786414108428E-3</v>
      </c>
      <c r="M146">
        <f t="shared" si="5"/>
        <v>6.531678641410843</v>
      </c>
    </row>
    <row r="147" spans="1:13" ht="14.25" customHeight="1" x14ac:dyDescent="0.25">
      <c r="A147" s="1">
        <v>2</v>
      </c>
      <c r="B147" s="1" t="s">
        <v>9</v>
      </c>
      <c r="C147" s="2" t="s">
        <v>49</v>
      </c>
      <c r="D147" s="3">
        <v>45561</v>
      </c>
      <c r="E147" s="7">
        <v>0.52361111111111103</v>
      </c>
      <c r="F147" s="1">
        <v>153.1</v>
      </c>
      <c r="G147" s="1">
        <v>1200</v>
      </c>
      <c r="H147" s="1">
        <v>7.84</v>
      </c>
      <c r="I147" s="1" t="s">
        <v>18</v>
      </c>
      <c r="K147" s="1">
        <v>3</v>
      </c>
      <c r="L147">
        <f t="shared" si="4"/>
        <v>1.9595035924232528E-2</v>
      </c>
      <c r="M147">
        <f t="shared" si="5"/>
        <v>19.595035924232526</v>
      </c>
    </row>
    <row r="148" spans="1:13" ht="14.25" customHeight="1" x14ac:dyDescent="0.25">
      <c r="A148" s="1">
        <v>2</v>
      </c>
      <c r="B148" s="1" t="s">
        <v>9</v>
      </c>
      <c r="C148" s="2" t="s">
        <v>49</v>
      </c>
      <c r="D148" s="3">
        <v>45561</v>
      </c>
      <c r="E148" s="7">
        <v>0.52361111111111103</v>
      </c>
      <c r="F148" s="1">
        <v>153.1</v>
      </c>
      <c r="G148" s="1">
        <v>1200</v>
      </c>
      <c r="H148" s="1">
        <v>7.84</v>
      </c>
      <c r="I148" s="1" t="s">
        <v>15</v>
      </c>
      <c r="K148" s="1">
        <v>13</v>
      </c>
      <c r="L148">
        <f t="shared" si="4"/>
        <v>8.491182233834095E-2</v>
      </c>
      <c r="M148">
        <f t="shared" si="5"/>
        <v>84.911822338340954</v>
      </c>
    </row>
    <row r="149" spans="1:13" ht="14.25" customHeight="1" x14ac:dyDescent="0.25">
      <c r="A149" s="1">
        <v>2</v>
      </c>
      <c r="B149" s="1" t="s">
        <v>9</v>
      </c>
      <c r="C149" s="2" t="s">
        <v>49</v>
      </c>
      <c r="D149" s="3">
        <v>45561</v>
      </c>
      <c r="E149" s="7">
        <v>0.52361111111111103</v>
      </c>
      <c r="F149" s="1">
        <v>153.1</v>
      </c>
      <c r="G149" s="1">
        <v>1200</v>
      </c>
      <c r="H149" s="1">
        <v>7.84</v>
      </c>
      <c r="I149" s="1" t="s">
        <v>27</v>
      </c>
      <c r="K149" s="1">
        <v>1</v>
      </c>
      <c r="L149">
        <f t="shared" si="4"/>
        <v>6.5316786414108428E-3</v>
      </c>
      <c r="M149">
        <f t="shared" si="5"/>
        <v>6.531678641410843</v>
      </c>
    </row>
    <row r="150" spans="1:13" ht="14.25" customHeight="1" x14ac:dyDescent="0.25">
      <c r="A150" s="1">
        <v>2</v>
      </c>
      <c r="B150" s="1" t="s">
        <v>9</v>
      </c>
      <c r="C150" s="2" t="s">
        <v>49</v>
      </c>
      <c r="D150" s="3">
        <v>45561</v>
      </c>
      <c r="E150" s="7">
        <v>0.52361111111111103</v>
      </c>
      <c r="F150" s="1">
        <v>153.1</v>
      </c>
      <c r="G150" s="1">
        <v>1200</v>
      </c>
      <c r="H150" s="1">
        <v>7.84</v>
      </c>
      <c r="I150" s="1" t="s">
        <v>20</v>
      </c>
      <c r="K150" s="1">
        <v>4</v>
      </c>
      <c r="L150">
        <f t="shared" si="4"/>
        <v>2.6126714565643371E-2</v>
      </c>
      <c r="M150">
        <f t="shared" si="5"/>
        <v>26.126714565643372</v>
      </c>
    </row>
    <row r="151" spans="1:13" ht="14.25" customHeight="1" x14ac:dyDescent="0.25">
      <c r="A151" s="1">
        <v>2</v>
      </c>
      <c r="B151" s="1" t="s">
        <v>9</v>
      </c>
      <c r="C151" s="2" t="s">
        <v>49</v>
      </c>
      <c r="D151" s="3">
        <v>45561</v>
      </c>
      <c r="E151" s="7">
        <v>0.52361111111111103</v>
      </c>
      <c r="F151" s="1">
        <v>153.1</v>
      </c>
      <c r="G151" s="1">
        <v>1200</v>
      </c>
      <c r="H151" s="1">
        <v>7.84</v>
      </c>
      <c r="I151" s="1" t="s">
        <v>10</v>
      </c>
      <c r="J151" s="1" t="s">
        <v>13</v>
      </c>
      <c r="K151" s="1">
        <v>3</v>
      </c>
      <c r="L151">
        <f t="shared" si="4"/>
        <v>1.9595035924232528E-2</v>
      </c>
      <c r="M151">
        <f t="shared" si="5"/>
        <v>19.595035924232526</v>
      </c>
    </row>
    <row r="152" spans="1:13" ht="14.25" customHeight="1" x14ac:dyDescent="0.25">
      <c r="A152" s="1">
        <v>2</v>
      </c>
      <c r="B152" s="1" t="s">
        <v>9</v>
      </c>
      <c r="C152" s="2" t="s">
        <v>49</v>
      </c>
      <c r="D152" s="3">
        <v>45561</v>
      </c>
      <c r="E152" s="7">
        <v>0.52361111111111103</v>
      </c>
      <c r="F152" s="1">
        <v>153.1</v>
      </c>
      <c r="G152" s="1">
        <v>1200</v>
      </c>
      <c r="H152" s="1">
        <v>7.84</v>
      </c>
      <c r="I152" s="1" t="s">
        <v>42</v>
      </c>
      <c r="J152" s="1" t="s">
        <v>12</v>
      </c>
      <c r="K152" s="1">
        <v>5</v>
      </c>
      <c r="L152">
        <f t="shared" si="4"/>
        <v>3.2658393207054215E-2</v>
      </c>
      <c r="M152">
        <f t="shared" si="5"/>
        <v>32.658393207054218</v>
      </c>
    </row>
    <row r="153" spans="1:13" ht="14.25" customHeight="1" x14ac:dyDescent="0.25">
      <c r="A153" s="1">
        <v>2</v>
      </c>
      <c r="B153" s="1" t="s">
        <v>9</v>
      </c>
      <c r="C153" s="2" t="s">
        <v>49</v>
      </c>
      <c r="D153" s="3">
        <v>45561</v>
      </c>
      <c r="E153" s="7">
        <v>0.52361111111111103</v>
      </c>
      <c r="F153" s="1">
        <v>153.1</v>
      </c>
      <c r="G153" s="1">
        <v>1200</v>
      </c>
      <c r="H153" s="1">
        <v>7.84</v>
      </c>
      <c r="I153" s="1" t="s">
        <v>42</v>
      </c>
      <c r="J153" s="1" t="s">
        <v>17</v>
      </c>
      <c r="K153" s="1">
        <v>2</v>
      </c>
      <c r="L153">
        <f t="shared" si="4"/>
        <v>1.3063357282821686E-2</v>
      </c>
      <c r="M153">
        <f t="shared" si="5"/>
        <v>13.063357282821686</v>
      </c>
    </row>
    <row r="154" spans="1:13" ht="14.25" customHeight="1" x14ac:dyDescent="0.25">
      <c r="A154" s="1">
        <v>2</v>
      </c>
      <c r="B154" s="1" t="s">
        <v>9</v>
      </c>
      <c r="C154" s="2" t="s">
        <v>49</v>
      </c>
      <c r="D154" s="3">
        <v>45561</v>
      </c>
      <c r="E154" s="7">
        <v>0.52361111111111103</v>
      </c>
      <c r="F154" s="1">
        <v>153.1</v>
      </c>
      <c r="G154" s="1">
        <v>1200</v>
      </c>
      <c r="H154" s="1">
        <v>7.84</v>
      </c>
      <c r="I154" s="1" t="s">
        <v>14</v>
      </c>
      <c r="K154" s="1">
        <v>1</v>
      </c>
      <c r="L154">
        <f t="shared" si="4"/>
        <v>6.5316786414108428E-3</v>
      </c>
      <c r="M154">
        <f t="shared" si="5"/>
        <v>6.531678641410843</v>
      </c>
    </row>
    <row r="155" spans="1:13" ht="14.25" customHeight="1" x14ac:dyDescent="0.25">
      <c r="A155" s="1">
        <v>2</v>
      </c>
      <c r="B155" s="1" t="s">
        <v>9</v>
      </c>
      <c r="C155" s="2" t="s">
        <v>49</v>
      </c>
      <c r="D155" s="3">
        <v>45561</v>
      </c>
      <c r="E155" s="7">
        <v>0.52361111111111103</v>
      </c>
      <c r="F155" s="1">
        <v>153.1</v>
      </c>
      <c r="G155" s="1">
        <v>1200</v>
      </c>
      <c r="H155" s="1">
        <v>7.84</v>
      </c>
      <c r="I155" s="1" t="s">
        <v>10</v>
      </c>
      <c r="J155" s="1" t="s">
        <v>11</v>
      </c>
      <c r="K155" s="1">
        <v>1</v>
      </c>
      <c r="L155">
        <f t="shared" si="4"/>
        <v>6.5316786414108428E-3</v>
      </c>
      <c r="M155">
        <f t="shared" si="5"/>
        <v>6.531678641410843</v>
      </c>
    </row>
    <row r="156" spans="1:13" ht="14.25" customHeight="1" x14ac:dyDescent="0.25">
      <c r="A156" s="1">
        <v>3</v>
      </c>
      <c r="B156" s="1" t="s">
        <v>9</v>
      </c>
      <c r="C156" s="2" t="s">
        <v>49</v>
      </c>
      <c r="D156" s="3">
        <v>45561</v>
      </c>
      <c r="E156" s="7">
        <v>0.52361111111111103</v>
      </c>
      <c r="F156" s="1">
        <v>153.1</v>
      </c>
      <c r="G156" s="1">
        <v>1537.5</v>
      </c>
      <c r="H156" s="1">
        <v>10.042999999999999</v>
      </c>
      <c r="I156" s="1" t="s">
        <v>20</v>
      </c>
      <c r="K156" s="1">
        <v>9</v>
      </c>
      <c r="L156">
        <f t="shared" si="4"/>
        <v>5.8785107772697583E-2</v>
      </c>
      <c r="M156">
        <f t="shared" si="5"/>
        <v>58.785107772697586</v>
      </c>
    </row>
    <row r="157" spans="1:13" ht="14.25" customHeight="1" x14ac:dyDescent="0.25">
      <c r="A157" s="1">
        <v>3</v>
      </c>
      <c r="B157" s="1" t="s">
        <v>9</v>
      </c>
      <c r="C157" s="2" t="s">
        <v>49</v>
      </c>
      <c r="D157" s="3">
        <v>45561</v>
      </c>
      <c r="E157" s="7">
        <v>0.52361111111111103</v>
      </c>
      <c r="F157" s="1">
        <v>153.1</v>
      </c>
      <c r="G157" s="1">
        <v>1537.5</v>
      </c>
      <c r="H157" s="1">
        <v>10.042999999999999</v>
      </c>
      <c r="I157" s="1" t="s">
        <v>15</v>
      </c>
      <c r="K157" s="1">
        <v>16</v>
      </c>
      <c r="L157">
        <f t="shared" si="4"/>
        <v>0.10450685826257348</v>
      </c>
      <c r="M157">
        <f t="shared" si="5"/>
        <v>104.50685826257349</v>
      </c>
    </row>
    <row r="158" spans="1:13" ht="14.25" customHeight="1" x14ac:dyDescent="0.25">
      <c r="A158" s="1">
        <v>3</v>
      </c>
      <c r="B158" s="1" t="s">
        <v>9</v>
      </c>
      <c r="C158" s="2" t="s">
        <v>49</v>
      </c>
      <c r="D158" s="3">
        <v>45561</v>
      </c>
      <c r="E158" s="7">
        <v>0.52361111111111103</v>
      </c>
      <c r="F158" s="1">
        <v>153.1</v>
      </c>
      <c r="G158" s="1">
        <v>1537.5</v>
      </c>
      <c r="H158" s="1">
        <v>10.042999999999999</v>
      </c>
      <c r="I158" s="1" t="s">
        <v>10</v>
      </c>
      <c r="J158" s="1" t="s">
        <v>11</v>
      </c>
      <c r="K158" s="1">
        <v>3</v>
      </c>
      <c r="L158">
        <f t="shared" si="4"/>
        <v>1.9595035924232528E-2</v>
      </c>
      <c r="M158">
        <f t="shared" si="5"/>
        <v>19.595035924232526</v>
      </c>
    </row>
    <row r="159" spans="1:13" ht="14.25" customHeight="1" x14ac:dyDescent="0.25">
      <c r="A159" s="1">
        <v>3</v>
      </c>
      <c r="B159" s="1" t="s">
        <v>9</v>
      </c>
      <c r="C159" s="2" t="s">
        <v>49</v>
      </c>
      <c r="D159" s="3">
        <v>45561</v>
      </c>
      <c r="E159" s="7">
        <v>0.52361111111111103</v>
      </c>
      <c r="F159" s="1">
        <v>153.1</v>
      </c>
      <c r="G159" s="1">
        <v>1537.5</v>
      </c>
      <c r="H159" s="1">
        <v>10.042999999999999</v>
      </c>
      <c r="I159" s="1" t="s">
        <v>18</v>
      </c>
      <c r="J159" s="1" t="s">
        <v>13</v>
      </c>
      <c r="K159" s="1">
        <v>1</v>
      </c>
      <c r="L159">
        <f t="shared" si="4"/>
        <v>6.5316786414108428E-3</v>
      </c>
      <c r="M159">
        <f t="shared" si="5"/>
        <v>6.531678641410843</v>
      </c>
    </row>
    <row r="160" spans="1:13" ht="14.25" customHeight="1" x14ac:dyDescent="0.25">
      <c r="A160" s="1">
        <v>3</v>
      </c>
      <c r="B160" s="1" t="s">
        <v>9</v>
      </c>
      <c r="C160" s="2" t="s">
        <v>49</v>
      </c>
      <c r="D160" s="3">
        <v>45561</v>
      </c>
      <c r="E160" s="7">
        <v>0.52361111111111103</v>
      </c>
      <c r="F160" s="1">
        <v>153.1</v>
      </c>
      <c r="G160" s="1">
        <v>1537.5</v>
      </c>
      <c r="H160" s="1">
        <v>10.042999999999999</v>
      </c>
      <c r="I160" s="1" t="s">
        <v>42</v>
      </c>
      <c r="J160" s="1" t="s">
        <v>12</v>
      </c>
      <c r="K160" s="1">
        <v>4</v>
      </c>
      <c r="L160">
        <f t="shared" si="4"/>
        <v>2.6126714565643371E-2</v>
      </c>
      <c r="M160">
        <f t="shared" si="5"/>
        <v>26.126714565643372</v>
      </c>
    </row>
    <row r="161" spans="1:13" ht="14.25" customHeight="1" x14ac:dyDescent="0.25">
      <c r="A161" s="1">
        <v>3</v>
      </c>
      <c r="B161" s="1" t="s">
        <v>9</v>
      </c>
      <c r="C161" s="2" t="s">
        <v>49</v>
      </c>
      <c r="D161" s="3">
        <v>45561</v>
      </c>
      <c r="E161" s="7">
        <v>0.52361111111111103</v>
      </c>
      <c r="F161" s="1">
        <v>153.1</v>
      </c>
      <c r="G161" s="1">
        <v>1537.5</v>
      </c>
      <c r="H161" s="1">
        <v>10.042999999999999</v>
      </c>
      <c r="I161" s="1" t="s">
        <v>42</v>
      </c>
      <c r="J161" s="1" t="s">
        <v>28</v>
      </c>
      <c r="K161" s="1">
        <v>1</v>
      </c>
      <c r="L161">
        <f t="shared" si="4"/>
        <v>6.5316786414108428E-3</v>
      </c>
      <c r="M161">
        <f t="shared" si="5"/>
        <v>6.531678641410843</v>
      </c>
    </row>
    <row r="162" spans="1:13" ht="14.25" customHeight="1" x14ac:dyDescent="0.25">
      <c r="A162" s="1">
        <v>3</v>
      </c>
      <c r="B162" s="1" t="s">
        <v>9</v>
      </c>
      <c r="C162" s="2" t="s">
        <v>49</v>
      </c>
      <c r="D162" s="3">
        <v>45561</v>
      </c>
      <c r="E162" s="7">
        <v>0.52361111111111103</v>
      </c>
      <c r="F162" s="1">
        <v>153.1</v>
      </c>
      <c r="G162" s="1">
        <v>1537.5</v>
      </c>
      <c r="H162" s="1">
        <v>10.042999999999999</v>
      </c>
      <c r="I162" s="1" t="s">
        <v>42</v>
      </c>
      <c r="J162" s="1" t="s">
        <v>17</v>
      </c>
      <c r="K162" s="1">
        <v>2</v>
      </c>
      <c r="L162">
        <f t="shared" si="4"/>
        <v>1.3063357282821686E-2</v>
      </c>
      <c r="M162">
        <f t="shared" si="5"/>
        <v>13.063357282821686</v>
      </c>
    </row>
    <row r="163" spans="1:13" ht="14.25" customHeight="1" x14ac:dyDescent="0.25">
      <c r="A163" s="1">
        <v>3</v>
      </c>
      <c r="B163" s="1" t="s">
        <v>9</v>
      </c>
      <c r="C163" s="2" t="s">
        <v>49</v>
      </c>
      <c r="D163" s="3">
        <v>45561</v>
      </c>
      <c r="E163" s="7">
        <v>0.52361111111111103</v>
      </c>
      <c r="F163" s="1">
        <v>153.1</v>
      </c>
      <c r="G163" s="1">
        <v>1537.5</v>
      </c>
      <c r="H163" s="1">
        <v>10.042999999999999</v>
      </c>
      <c r="I163" s="1" t="s">
        <v>14</v>
      </c>
      <c r="K163" s="1">
        <v>1</v>
      </c>
      <c r="L163">
        <f t="shared" si="4"/>
        <v>6.5316786414108428E-3</v>
      </c>
      <c r="M163">
        <f t="shared" si="5"/>
        <v>6.531678641410843</v>
      </c>
    </row>
    <row r="164" spans="1:13" ht="14.25" customHeight="1" x14ac:dyDescent="0.25">
      <c r="A164" s="1">
        <v>3</v>
      </c>
      <c r="B164" s="1" t="s">
        <v>9</v>
      </c>
      <c r="C164" s="2" t="s">
        <v>49</v>
      </c>
      <c r="D164" s="3">
        <v>45561</v>
      </c>
      <c r="E164" s="7">
        <v>0.52361111111111103</v>
      </c>
      <c r="F164" s="1">
        <v>153.1</v>
      </c>
      <c r="G164" s="1">
        <v>1537.5</v>
      </c>
      <c r="H164" s="1">
        <v>10.042999999999999</v>
      </c>
      <c r="I164" s="1" t="s">
        <v>18</v>
      </c>
      <c r="K164" s="1">
        <v>2</v>
      </c>
      <c r="L164">
        <f t="shared" si="4"/>
        <v>1.3063357282821686E-2</v>
      </c>
      <c r="M164">
        <f t="shared" si="5"/>
        <v>13.063357282821686</v>
      </c>
    </row>
    <row r="165" spans="1:13" ht="14.25" customHeight="1" x14ac:dyDescent="0.25">
      <c r="A165" s="1">
        <v>3</v>
      </c>
      <c r="B165" s="1" t="s">
        <v>9</v>
      </c>
      <c r="C165" s="2" t="s">
        <v>49</v>
      </c>
      <c r="D165" s="3">
        <v>45561</v>
      </c>
      <c r="E165" s="7">
        <v>0.52361111111111103</v>
      </c>
      <c r="F165" s="1">
        <v>153.1</v>
      </c>
      <c r="G165" s="1">
        <v>1537.5</v>
      </c>
      <c r="H165" s="1">
        <v>10.042999999999999</v>
      </c>
      <c r="I165" s="1" t="s">
        <v>10</v>
      </c>
      <c r="J165" s="1" t="s">
        <v>13</v>
      </c>
      <c r="K165" s="1">
        <v>2</v>
      </c>
      <c r="L165">
        <f t="shared" si="4"/>
        <v>1.3063357282821686E-2</v>
      </c>
      <c r="M165">
        <f t="shared" si="5"/>
        <v>13.063357282821686</v>
      </c>
    </row>
    <row r="166" spans="1:13" ht="14.25" customHeight="1" x14ac:dyDescent="0.25">
      <c r="A166" s="1">
        <v>1</v>
      </c>
      <c r="B166" s="1" t="s">
        <v>9</v>
      </c>
      <c r="C166" s="2" t="s">
        <v>49</v>
      </c>
      <c r="D166" s="5">
        <v>45546</v>
      </c>
      <c r="E166" s="7">
        <v>0.6430555555555556</v>
      </c>
      <c r="F166" s="1">
        <v>132.46</v>
      </c>
      <c r="G166" s="1">
        <v>480</v>
      </c>
      <c r="H166" s="1">
        <v>3.62</v>
      </c>
      <c r="I166" s="1" t="s">
        <v>18</v>
      </c>
      <c r="K166" s="1">
        <v>13</v>
      </c>
      <c r="L166">
        <f t="shared" si="4"/>
        <v>9.814283557300317E-2</v>
      </c>
      <c r="M166">
        <f t="shared" si="5"/>
        <v>98.142835573003168</v>
      </c>
    </row>
    <row r="167" spans="1:13" ht="14.25" customHeight="1" x14ac:dyDescent="0.25">
      <c r="A167" s="1">
        <v>1</v>
      </c>
      <c r="B167" s="1" t="s">
        <v>9</v>
      </c>
      <c r="C167" s="2" t="s">
        <v>49</v>
      </c>
      <c r="D167" s="5">
        <v>45546</v>
      </c>
      <c r="E167" s="7">
        <v>0.6430555555555556</v>
      </c>
      <c r="F167" s="1">
        <v>132.46</v>
      </c>
      <c r="G167" s="1">
        <v>480</v>
      </c>
      <c r="H167" s="1">
        <v>3.62</v>
      </c>
      <c r="I167" s="1" t="s">
        <v>10</v>
      </c>
      <c r="J167" s="1" t="s">
        <v>11</v>
      </c>
      <c r="K167" s="1">
        <v>3</v>
      </c>
      <c r="L167">
        <f t="shared" si="4"/>
        <v>2.2648346670693039E-2</v>
      </c>
      <c r="M167">
        <f t="shared" si="5"/>
        <v>22.648346670693041</v>
      </c>
    </row>
    <row r="168" spans="1:13" ht="14.25" customHeight="1" x14ac:dyDescent="0.25">
      <c r="A168" s="1">
        <v>1</v>
      </c>
      <c r="B168" s="1" t="s">
        <v>9</v>
      </c>
      <c r="C168" s="2" t="s">
        <v>49</v>
      </c>
      <c r="D168" s="5">
        <v>45546</v>
      </c>
      <c r="E168" s="7">
        <v>0.6430555555555556</v>
      </c>
      <c r="F168" s="1">
        <v>132.46</v>
      </c>
      <c r="G168" s="1">
        <v>480</v>
      </c>
      <c r="H168" s="1">
        <v>3.62</v>
      </c>
      <c r="I168" s="1" t="s">
        <v>42</v>
      </c>
      <c r="J168" s="1" t="s">
        <v>29</v>
      </c>
      <c r="K168" s="1">
        <v>8</v>
      </c>
      <c r="L168">
        <f t="shared" si="4"/>
        <v>6.03955911218481E-2</v>
      </c>
      <c r="M168">
        <f t="shared" si="5"/>
        <v>60.395591121848099</v>
      </c>
    </row>
    <row r="169" spans="1:13" ht="14.25" customHeight="1" x14ac:dyDescent="0.25">
      <c r="A169" s="1">
        <v>1</v>
      </c>
      <c r="B169" s="1" t="s">
        <v>9</v>
      </c>
      <c r="C169" s="2" t="s">
        <v>49</v>
      </c>
      <c r="D169" s="5">
        <v>45546</v>
      </c>
      <c r="E169" s="7">
        <v>0.64305555555555605</v>
      </c>
      <c r="F169" s="1">
        <v>132.46</v>
      </c>
      <c r="G169" s="1">
        <v>480</v>
      </c>
      <c r="H169" s="1">
        <v>3.62</v>
      </c>
      <c r="I169" s="1" t="s">
        <v>42</v>
      </c>
      <c r="J169" s="1" t="s">
        <v>12</v>
      </c>
      <c r="K169" s="1">
        <v>8</v>
      </c>
      <c r="L169">
        <f t="shared" si="4"/>
        <v>6.03955911218481E-2</v>
      </c>
      <c r="M169">
        <f t="shared" si="5"/>
        <v>60.395591121848099</v>
      </c>
    </row>
    <row r="170" spans="1:13" ht="14.25" customHeight="1" x14ac:dyDescent="0.25">
      <c r="A170" s="1">
        <v>1</v>
      </c>
      <c r="B170" s="1" t="s">
        <v>9</v>
      </c>
      <c r="C170" s="2" t="s">
        <v>49</v>
      </c>
      <c r="D170" s="5">
        <v>45546</v>
      </c>
      <c r="E170" s="7">
        <v>0.64305555555555605</v>
      </c>
      <c r="F170" s="1">
        <v>132.46</v>
      </c>
      <c r="G170" s="1">
        <v>480</v>
      </c>
      <c r="H170" s="1">
        <v>3.62</v>
      </c>
      <c r="I170" s="1" t="s">
        <v>10</v>
      </c>
      <c r="J170" s="1" t="s">
        <v>13</v>
      </c>
      <c r="K170" s="1">
        <v>1</v>
      </c>
      <c r="L170">
        <f t="shared" si="4"/>
        <v>7.5494488902310124E-3</v>
      </c>
      <c r="M170">
        <f t="shared" si="5"/>
        <v>7.5494488902310124</v>
      </c>
    </row>
    <row r="171" spans="1:13" ht="14.25" customHeight="1" x14ac:dyDescent="0.25">
      <c r="A171" s="1">
        <v>1</v>
      </c>
      <c r="B171" s="1" t="s">
        <v>9</v>
      </c>
      <c r="C171" s="2" t="s">
        <v>49</v>
      </c>
      <c r="D171" s="5">
        <v>45546</v>
      </c>
      <c r="E171" s="7">
        <v>0.64305555555555605</v>
      </c>
      <c r="F171" s="1">
        <v>132.46</v>
      </c>
      <c r="G171" s="1">
        <v>480</v>
      </c>
      <c r="H171" s="1">
        <v>3.62</v>
      </c>
      <c r="I171" s="1" t="s">
        <v>15</v>
      </c>
      <c r="J171" s="1" t="s">
        <v>30</v>
      </c>
      <c r="K171" s="1">
        <v>4</v>
      </c>
      <c r="L171">
        <f t="shared" si="4"/>
        <v>3.019779556092405E-2</v>
      </c>
      <c r="M171">
        <f t="shared" si="5"/>
        <v>30.19779556092405</v>
      </c>
    </row>
    <row r="172" spans="1:13" ht="14.25" customHeight="1" x14ac:dyDescent="0.25">
      <c r="A172" s="1">
        <v>1</v>
      </c>
      <c r="B172" s="1" t="s">
        <v>9</v>
      </c>
      <c r="C172" s="2" t="s">
        <v>49</v>
      </c>
      <c r="D172" s="5">
        <v>45546</v>
      </c>
      <c r="E172" s="7">
        <v>0.64305555555555605</v>
      </c>
      <c r="F172" s="1">
        <v>132.46</v>
      </c>
      <c r="G172" s="1">
        <v>480</v>
      </c>
      <c r="H172" s="1">
        <v>3.62</v>
      </c>
      <c r="I172" s="1" t="s">
        <v>26</v>
      </c>
      <c r="K172" s="1">
        <v>1</v>
      </c>
      <c r="L172">
        <f t="shared" si="4"/>
        <v>7.5494488902310124E-3</v>
      </c>
      <c r="M172">
        <f t="shared" si="5"/>
        <v>7.5494488902310124</v>
      </c>
    </row>
    <row r="173" spans="1:13" ht="14.25" customHeight="1" x14ac:dyDescent="0.25">
      <c r="A173" s="1">
        <v>1</v>
      </c>
      <c r="B173" s="1" t="s">
        <v>9</v>
      </c>
      <c r="C173" s="2" t="s">
        <v>49</v>
      </c>
      <c r="D173" s="5">
        <v>45546</v>
      </c>
      <c r="E173" s="7">
        <v>0.64305555555555605</v>
      </c>
      <c r="F173" s="1">
        <v>132.46</v>
      </c>
      <c r="G173" s="1">
        <v>480</v>
      </c>
      <c r="H173" s="1">
        <v>3.62</v>
      </c>
      <c r="I173" s="1" t="s">
        <v>42</v>
      </c>
      <c r="J173" s="1" t="s">
        <v>17</v>
      </c>
      <c r="K173" s="1">
        <v>1</v>
      </c>
      <c r="L173">
        <f t="shared" si="4"/>
        <v>7.5494488902310124E-3</v>
      </c>
      <c r="M173">
        <f t="shared" si="5"/>
        <v>7.5494488902310124</v>
      </c>
    </row>
    <row r="174" spans="1:13" ht="14.25" customHeight="1" x14ac:dyDescent="0.25">
      <c r="A174" s="1">
        <v>1</v>
      </c>
      <c r="B174" s="1" t="s">
        <v>9</v>
      </c>
      <c r="C174" s="2" t="s">
        <v>49</v>
      </c>
      <c r="D174" s="5">
        <v>45546</v>
      </c>
      <c r="E174" s="7">
        <v>0.64305555555555605</v>
      </c>
      <c r="F174" s="1">
        <v>132.46</v>
      </c>
      <c r="G174" s="1">
        <v>480</v>
      </c>
      <c r="H174" s="1">
        <v>3.62</v>
      </c>
      <c r="I174" s="1" t="s">
        <v>23</v>
      </c>
      <c r="K174" s="1">
        <v>1</v>
      </c>
      <c r="L174">
        <f t="shared" si="4"/>
        <v>7.5494488902310124E-3</v>
      </c>
      <c r="M174">
        <f t="shared" si="5"/>
        <v>7.5494488902310124</v>
      </c>
    </row>
    <row r="175" spans="1:13" ht="14.25" customHeight="1" x14ac:dyDescent="0.25">
      <c r="A175" s="1">
        <v>2</v>
      </c>
      <c r="B175" s="1" t="s">
        <v>9</v>
      </c>
      <c r="C175" s="2" t="s">
        <v>49</v>
      </c>
      <c r="D175" s="5">
        <v>45546</v>
      </c>
      <c r="E175" s="7">
        <v>0.64305555555555605</v>
      </c>
      <c r="F175" s="1">
        <v>132.46</v>
      </c>
      <c r="G175" s="1">
        <v>756</v>
      </c>
      <c r="H175" s="1">
        <v>5.71</v>
      </c>
      <c r="I175" s="1" t="s">
        <v>10</v>
      </c>
      <c r="J175" s="1" t="s">
        <v>11</v>
      </c>
      <c r="K175" s="1">
        <v>11</v>
      </c>
      <c r="L175">
        <f t="shared" si="4"/>
        <v>8.3043937792541142E-2</v>
      </c>
      <c r="M175">
        <f t="shared" si="5"/>
        <v>83.043937792541143</v>
      </c>
    </row>
    <row r="176" spans="1:13" ht="14.25" customHeight="1" x14ac:dyDescent="0.25">
      <c r="A176" s="1">
        <v>2</v>
      </c>
      <c r="B176" s="1" t="s">
        <v>9</v>
      </c>
      <c r="C176" s="2" t="s">
        <v>49</v>
      </c>
      <c r="D176" s="5">
        <v>45546</v>
      </c>
      <c r="E176" s="7">
        <v>0.64305555555555605</v>
      </c>
      <c r="F176" s="1">
        <v>132.46</v>
      </c>
      <c r="G176" s="1">
        <v>756</v>
      </c>
      <c r="H176" s="1">
        <v>5.71</v>
      </c>
      <c r="I176" s="1" t="s">
        <v>42</v>
      </c>
      <c r="J176" s="1" t="s">
        <v>29</v>
      </c>
      <c r="K176" s="1">
        <v>2</v>
      </c>
      <c r="L176">
        <f t="shared" si="4"/>
        <v>1.5098897780462025E-2</v>
      </c>
      <c r="M176">
        <f t="shared" si="5"/>
        <v>15.098897780462025</v>
      </c>
    </row>
    <row r="177" spans="1:13" ht="14.25" customHeight="1" x14ac:dyDescent="0.25">
      <c r="A177" s="1">
        <v>2</v>
      </c>
      <c r="B177" s="1" t="s">
        <v>9</v>
      </c>
      <c r="C177" s="2" t="s">
        <v>49</v>
      </c>
      <c r="D177" s="5">
        <v>45546</v>
      </c>
      <c r="E177" s="7">
        <v>0.64305555555555605</v>
      </c>
      <c r="F177" s="1">
        <v>132.46</v>
      </c>
      <c r="G177" s="1">
        <v>756</v>
      </c>
      <c r="H177" s="1">
        <v>5.71</v>
      </c>
      <c r="I177" s="1" t="s">
        <v>18</v>
      </c>
      <c r="K177" s="1">
        <v>21</v>
      </c>
      <c r="L177">
        <f t="shared" si="4"/>
        <v>0.15853842669485127</v>
      </c>
      <c r="M177">
        <f t="shared" si="5"/>
        <v>158.53842669485127</v>
      </c>
    </row>
    <row r="178" spans="1:13" ht="14.25" customHeight="1" x14ac:dyDescent="0.25">
      <c r="A178" s="1">
        <v>2</v>
      </c>
      <c r="B178" s="1" t="s">
        <v>9</v>
      </c>
      <c r="C178" s="2" t="s">
        <v>49</v>
      </c>
      <c r="D178" s="5">
        <v>45546</v>
      </c>
      <c r="E178" s="7">
        <v>0.64305555555555605</v>
      </c>
      <c r="F178" s="1">
        <v>132.46</v>
      </c>
      <c r="G178" s="1">
        <v>756</v>
      </c>
      <c r="H178" s="1">
        <v>5.71</v>
      </c>
      <c r="I178" s="1" t="s">
        <v>42</v>
      </c>
      <c r="J178" s="1" t="s">
        <v>17</v>
      </c>
      <c r="K178" s="1">
        <v>6</v>
      </c>
      <c r="L178">
        <f t="shared" si="4"/>
        <v>4.5296693341386078E-2</v>
      </c>
      <c r="M178">
        <f t="shared" si="5"/>
        <v>45.296693341386081</v>
      </c>
    </row>
    <row r="179" spans="1:13" ht="14.25" customHeight="1" x14ac:dyDescent="0.25">
      <c r="A179" s="1">
        <v>2</v>
      </c>
      <c r="B179" s="1" t="s">
        <v>9</v>
      </c>
      <c r="C179" s="2" t="s">
        <v>49</v>
      </c>
      <c r="D179" s="5">
        <v>45546</v>
      </c>
      <c r="E179" s="7">
        <v>0.64305555555555605</v>
      </c>
      <c r="F179" s="1">
        <v>132.46</v>
      </c>
      <c r="G179" s="1">
        <v>756</v>
      </c>
      <c r="H179" s="1">
        <v>5.71</v>
      </c>
      <c r="I179" s="1" t="s">
        <v>42</v>
      </c>
      <c r="J179" s="1" t="s">
        <v>12</v>
      </c>
      <c r="K179" s="1">
        <v>9</v>
      </c>
      <c r="L179">
        <f t="shared" si="4"/>
        <v>6.7945040012079114E-2</v>
      </c>
      <c r="M179">
        <f t="shared" si="5"/>
        <v>67.945040012079119</v>
      </c>
    </row>
    <row r="180" spans="1:13" ht="14.25" customHeight="1" x14ac:dyDescent="0.25">
      <c r="A180" s="1">
        <v>2</v>
      </c>
      <c r="B180" s="1" t="s">
        <v>9</v>
      </c>
      <c r="C180" s="2" t="s">
        <v>49</v>
      </c>
      <c r="D180" s="5">
        <v>45546</v>
      </c>
      <c r="E180" s="7">
        <v>0.64305555555555605</v>
      </c>
      <c r="F180" s="1">
        <v>132.46</v>
      </c>
      <c r="G180" s="1">
        <v>756</v>
      </c>
      <c r="H180" s="1">
        <v>5.71</v>
      </c>
      <c r="I180" s="1" t="s">
        <v>20</v>
      </c>
      <c r="K180" s="1">
        <v>2</v>
      </c>
      <c r="L180">
        <f t="shared" si="4"/>
        <v>1.5098897780462025E-2</v>
      </c>
      <c r="M180">
        <f t="shared" si="5"/>
        <v>15.098897780462025</v>
      </c>
    </row>
    <row r="181" spans="1:13" ht="14.25" customHeight="1" x14ac:dyDescent="0.25">
      <c r="A181" s="1">
        <v>2</v>
      </c>
      <c r="B181" s="1" t="s">
        <v>9</v>
      </c>
      <c r="C181" s="2" t="s">
        <v>49</v>
      </c>
      <c r="D181" s="5">
        <v>45546</v>
      </c>
      <c r="E181" s="7">
        <v>0.64305555555555605</v>
      </c>
      <c r="F181" s="1">
        <v>132.46</v>
      </c>
      <c r="G181" s="1">
        <v>756</v>
      </c>
      <c r="H181" s="1">
        <v>5.71</v>
      </c>
      <c r="I181" s="1" t="s">
        <v>15</v>
      </c>
      <c r="J181" s="1" t="s">
        <v>30</v>
      </c>
      <c r="K181" s="1">
        <v>8</v>
      </c>
      <c r="L181">
        <f t="shared" si="4"/>
        <v>6.03955911218481E-2</v>
      </c>
      <c r="M181">
        <f t="shared" si="5"/>
        <v>60.395591121848099</v>
      </c>
    </row>
    <row r="182" spans="1:13" ht="14.25" customHeight="1" x14ac:dyDescent="0.25">
      <c r="A182" s="1">
        <v>2</v>
      </c>
      <c r="B182" s="1" t="s">
        <v>9</v>
      </c>
      <c r="C182" s="2" t="s">
        <v>49</v>
      </c>
      <c r="D182" s="5">
        <v>45546</v>
      </c>
      <c r="E182" s="7">
        <v>0.64305555555555605</v>
      </c>
      <c r="F182" s="1">
        <v>132.46</v>
      </c>
      <c r="G182" s="1">
        <v>756</v>
      </c>
      <c r="H182" s="1">
        <v>5.71</v>
      </c>
      <c r="I182" s="1" t="s">
        <v>27</v>
      </c>
      <c r="K182" s="1">
        <v>1</v>
      </c>
      <c r="L182">
        <f t="shared" si="4"/>
        <v>7.5494488902310124E-3</v>
      </c>
      <c r="M182">
        <f t="shared" si="5"/>
        <v>7.5494488902310124</v>
      </c>
    </row>
    <row r="183" spans="1:13" ht="14.25" customHeight="1" x14ac:dyDescent="0.25">
      <c r="A183" s="1">
        <v>2</v>
      </c>
      <c r="B183" s="1" t="s">
        <v>9</v>
      </c>
      <c r="C183" s="2" t="s">
        <v>49</v>
      </c>
      <c r="D183" s="5">
        <v>45546</v>
      </c>
      <c r="E183" s="7">
        <v>0.64305555555555605</v>
      </c>
      <c r="F183" s="1">
        <v>132.46</v>
      </c>
      <c r="G183" s="1">
        <v>756</v>
      </c>
      <c r="H183" s="1">
        <v>5.71</v>
      </c>
      <c r="I183" s="1" t="s">
        <v>14</v>
      </c>
      <c r="K183" s="1">
        <v>2</v>
      </c>
      <c r="L183">
        <f t="shared" si="4"/>
        <v>1.5098897780462025E-2</v>
      </c>
      <c r="M183">
        <f t="shared" si="5"/>
        <v>15.098897780462025</v>
      </c>
    </row>
    <row r="184" spans="1:13" ht="14.25" customHeight="1" x14ac:dyDescent="0.25">
      <c r="A184" s="1">
        <v>2</v>
      </c>
      <c r="B184" s="1" t="s">
        <v>9</v>
      </c>
      <c r="C184" s="2" t="s">
        <v>49</v>
      </c>
      <c r="D184" s="5">
        <v>45546</v>
      </c>
      <c r="E184" s="7">
        <v>0.64305555555555605</v>
      </c>
      <c r="F184" s="1">
        <v>132.46</v>
      </c>
      <c r="G184" s="1">
        <v>756</v>
      </c>
      <c r="H184" s="1">
        <v>5.71</v>
      </c>
      <c r="I184" s="1" t="s">
        <v>31</v>
      </c>
      <c r="J184" s="1" t="s">
        <v>32</v>
      </c>
      <c r="K184" s="1">
        <v>1</v>
      </c>
      <c r="L184">
        <f t="shared" si="4"/>
        <v>7.5494488902310124E-3</v>
      </c>
      <c r="M184">
        <f t="shared" si="5"/>
        <v>7.5494488902310124</v>
      </c>
    </row>
    <row r="185" spans="1:13" ht="14.25" customHeight="1" x14ac:dyDescent="0.25">
      <c r="A185" s="1">
        <v>3</v>
      </c>
      <c r="B185" s="1" t="s">
        <v>9</v>
      </c>
      <c r="C185" s="2" t="s">
        <v>49</v>
      </c>
      <c r="D185" s="5">
        <v>45546</v>
      </c>
      <c r="E185" s="7">
        <v>0.64305555555555605</v>
      </c>
      <c r="F185" s="1">
        <v>132.46</v>
      </c>
      <c r="G185" s="1">
        <v>588</v>
      </c>
      <c r="H185" s="1">
        <v>4.4400000000000004</v>
      </c>
      <c r="I185" s="1" t="s">
        <v>14</v>
      </c>
      <c r="K185" s="1">
        <v>1</v>
      </c>
      <c r="L185">
        <f t="shared" si="4"/>
        <v>7.5494488902310124E-3</v>
      </c>
      <c r="M185">
        <f t="shared" si="5"/>
        <v>7.5494488902310124</v>
      </c>
    </row>
    <row r="186" spans="1:13" ht="14.25" customHeight="1" x14ac:dyDescent="0.25">
      <c r="A186" s="1">
        <v>3</v>
      </c>
      <c r="B186" s="1" t="s">
        <v>9</v>
      </c>
      <c r="C186" s="2" t="s">
        <v>49</v>
      </c>
      <c r="D186" s="5">
        <v>45546</v>
      </c>
      <c r="E186" s="7">
        <v>0.64305555555555605</v>
      </c>
      <c r="F186" s="1">
        <v>132.46</v>
      </c>
      <c r="G186" s="1">
        <v>588</v>
      </c>
      <c r="H186" s="1">
        <v>4.4400000000000004</v>
      </c>
      <c r="I186" s="1" t="s">
        <v>18</v>
      </c>
      <c r="K186" s="1">
        <v>12</v>
      </c>
      <c r="L186">
        <f t="shared" si="4"/>
        <v>9.0593386682772156E-2</v>
      </c>
      <c r="M186">
        <f t="shared" si="5"/>
        <v>90.593386682772163</v>
      </c>
    </row>
    <row r="187" spans="1:13" ht="14.25" customHeight="1" x14ac:dyDescent="0.25">
      <c r="A187" s="1">
        <v>3</v>
      </c>
      <c r="B187" s="1" t="s">
        <v>9</v>
      </c>
      <c r="C187" s="2" t="s">
        <v>49</v>
      </c>
      <c r="D187" s="5">
        <v>45546</v>
      </c>
      <c r="E187" s="7">
        <v>0.64305555555555605</v>
      </c>
      <c r="F187" s="1">
        <v>132.46</v>
      </c>
      <c r="G187" s="1">
        <v>588</v>
      </c>
      <c r="H187" s="1">
        <v>4.4400000000000004</v>
      </c>
      <c r="I187" s="1" t="s">
        <v>42</v>
      </c>
      <c r="J187" s="1" t="s">
        <v>12</v>
      </c>
      <c r="K187" s="1">
        <v>12</v>
      </c>
      <c r="L187">
        <f t="shared" si="4"/>
        <v>9.0593386682772156E-2</v>
      </c>
      <c r="M187">
        <f t="shared" si="5"/>
        <v>90.593386682772163</v>
      </c>
    </row>
    <row r="188" spans="1:13" ht="14.25" customHeight="1" x14ac:dyDescent="0.25">
      <c r="A188" s="1">
        <v>3</v>
      </c>
      <c r="B188" s="1" t="s">
        <v>9</v>
      </c>
      <c r="C188" s="2" t="s">
        <v>49</v>
      </c>
      <c r="D188" s="5">
        <v>45546</v>
      </c>
      <c r="E188" s="7">
        <v>0.64305555555555605</v>
      </c>
      <c r="F188" s="1">
        <v>132.46</v>
      </c>
      <c r="G188" s="1">
        <v>588</v>
      </c>
      <c r="H188" s="1">
        <v>4.4400000000000004</v>
      </c>
      <c r="I188" s="1" t="s">
        <v>10</v>
      </c>
      <c r="J188" s="1" t="s">
        <v>11</v>
      </c>
      <c r="K188" s="1">
        <v>6</v>
      </c>
      <c r="L188">
        <f t="shared" si="4"/>
        <v>4.5296693341386078E-2</v>
      </c>
      <c r="M188">
        <f t="shared" si="5"/>
        <v>45.296693341386081</v>
      </c>
    </row>
    <row r="189" spans="1:13" ht="14.25" customHeight="1" x14ac:dyDescent="0.25">
      <c r="A189" s="1">
        <v>3</v>
      </c>
      <c r="B189" s="1" t="s">
        <v>9</v>
      </c>
      <c r="C189" s="2" t="s">
        <v>49</v>
      </c>
      <c r="D189" s="5">
        <v>45546</v>
      </c>
      <c r="E189" s="7">
        <v>0.64305555555555605</v>
      </c>
      <c r="F189" s="1">
        <v>132.46</v>
      </c>
      <c r="G189" s="1">
        <v>588</v>
      </c>
      <c r="H189" s="1">
        <v>4.4400000000000004</v>
      </c>
      <c r="I189" s="1" t="s">
        <v>10</v>
      </c>
      <c r="J189" s="1" t="s">
        <v>13</v>
      </c>
      <c r="K189" s="1">
        <v>2</v>
      </c>
      <c r="L189">
        <f t="shared" si="4"/>
        <v>1.5098897780462025E-2</v>
      </c>
      <c r="M189">
        <f t="shared" si="5"/>
        <v>15.098897780462025</v>
      </c>
    </row>
    <row r="190" spans="1:13" ht="14.25" customHeight="1" x14ac:dyDescent="0.25">
      <c r="A190" s="1">
        <v>3</v>
      </c>
      <c r="B190" s="1" t="s">
        <v>9</v>
      </c>
      <c r="C190" s="2" t="s">
        <v>49</v>
      </c>
      <c r="D190" s="5">
        <v>45546</v>
      </c>
      <c r="E190" s="7">
        <v>0.64305555555555605</v>
      </c>
      <c r="F190" s="1">
        <v>132.46</v>
      </c>
      <c r="G190" s="1">
        <v>588</v>
      </c>
      <c r="H190" s="1">
        <v>4.4400000000000004</v>
      </c>
      <c r="I190" s="1" t="s">
        <v>42</v>
      </c>
      <c r="J190" s="1" t="s">
        <v>29</v>
      </c>
      <c r="K190" s="1">
        <v>7</v>
      </c>
      <c r="L190">
        <f t="shared" si="4"/>
        <v>5.2846142231617085E-2</v>
      </c>
      <c r="M190">
        <f t="shared" si="5"/>
        <v>52.846142231617087</v>
      </c>
    </row>
    <row r="191" spans="1:13" ht="14.25" customHeight="1" x14ac:dyDescent="0.25">
      <c r="A191" s="1">
        <v>3</v>
      </c>
      <c r="B191" s="1" t="s">
        <v>9</v>
      </c>
      <c r="C191" s="2" t="s">
        <v>49</v>
      </c>
      <c r="D191" s="5">
        <v>45546</v>
      </c>
      <c r="E191" s="7">
        <v>0.64305555555555605</v>
      </c>
      <c r="F191" s="1">
        <v>132.46</v>
      </c>
      <c r="G191" s="1">
        <v>588</v>
      </c>
      <c r="H191" s="1">
        <v>4.4400000000000004</v>
      </c>
      <c r="I191" s="1" t="s">
        <v>27</v>
      </c>
      <c r="K191" s="1">
        <v>1</v>
      </c>
      <c r="L191">
        <f t="shared" si="4"/>
        <v>7.5494488902310124E-3</v>
      </c>
      <c r="M191">
        <f t="shared" si="5"/>
        <v>7.5494488902310124</v>
      </c>
    </row>
    <row r="192" spans="1:13" ht="14.25" customHeight="1" x14ac:dyDescent="0.25">
      <c r="A192" s="1">
        <v>3</v>
      </c>
      <c r="B192" s="1" t="s">
        <v>9</v>
      </c>
      <c r="C192" s="2" t="s">
        <v>49</v>
      </c>
      <c r="D192" s="5">
        <v>45546</v>
      </c>
      <c r="E192" s="7">
        <v>0.64305555555555605</v>
      </c>
      <c r="F192" s="1">
        <v>132.46</v>
      </c>
      <c r="G192" s="1">
        <v>588</v>
      </c>
      <c r="H192" s="1">
        <v>4.4400000000000004</v>
      </c>
      <c r="I192" s="1" t="s">
        <v>15</v>
      </c>
      <c r="J192" s="1" t="s">
        <v>30</v>
      </c>
      <c r="K192" s="1">
        <v>1</v>
      </c>
      <c r="L192">
        <f t="shared" si="4"/>
        <v>7.5494488902310124E-3</v>
      </c>
      <c r="M192">
        <f t="shared" si="5"/>
        <v>7.5494488902310124</v>
      </c>
    </row>
    <row r="193" spans="1:13" ht="14.25" customHeight="1" x14ac:dyDescent="0.25">
      <c r="A193" s="1">
        <v>3</v>
      </c>
      <c r="B193" s="1" t="s">
        <v>9</v>
      </c>
      <c r="C193" s="2" t="s">
        <v>49</v>
      </c>
      <c r="D193" s="5">
        <v>45546</v>
      </c>
      <c r="E193" s="7">
        <v>0.64305555555555605</v>
      </c>
      <c r="F193" s="1">
        <v>132.46</v>
      </c>
      <c r="G193" s="1">
        <v>588</v>
      </c>
      <c r="H193" s="1">
        <v>4.4400000000000004</v>
      </c>
      <c r="I193" s="1" t="s">
        <v>33</v>
      </c>
      <c r="K193" s="1">
        <v>2</v>
      </c>
      <c r="L193">
        <f t="shared" si="4"/>
        <v>1.5098897780462025E-2</v>
      </c>
      <c r="M193">
        <f t="shared" si="5"/>
        <v>15.098897780462025</v>
      </c>
    </row>
    <row r="194" spans="1:13" ht="14.25" customHeight="1" x14ac:dyDescent="0.25">
      <c r="A194" s="1">
        <v>3</v>
      </c>
      <c r="B194" s="1" t="s">
        <v>9</v>
      </c>
      <c r="C194" s="2" t="s">
        <v>49</v>
      </c>
      <c r="D194" s="5">
        <v>45546</v>
      </c>
      <c r="E194" s="7">
        <v>0.64305555555555605</v>
      </c>
      <c r="F194" s="1">
        <v>132.46</v>
      </c>
      <c r="G194" s="1">
        <v>588</v>
      </c>
      <c r="H194" s="1">
        <v>4.4400000000000004</v>
      </c>
      <c r="I194" s="1" t="s">
        <v>42</v>
      </c>
      <c r="J194" s="1" t="s">
        <v>17</v>
      </c>
      <c r="K194" s="1">
        <v>4</v>
      </c>
      <c r="L194">
        <f t="shared" si="4"/>
        <v>3.019779556092405E-2</v>
      </c>
      <c r="M194">
        <f t="shared" si="5"/>
        <v>30.19779556092405</v>
      </c>
    </row>
    <row r="195" spans="1:13" ht="14.25" customHeight="1" x14ac:dyDescent="0.25">
      <c r="A195" s="1">
        <v>3</v>
      </c>
      <c r="B195" s="1" t="s">
        <v>9</v>
      </c>
      <c r="C195" s="2" t="s">
        <v>49</v>
      </c>
      <c r="D195" s="5">
        <v>45546</v>
      </c>
      <c r="E195" s="7">
        <v>0.64305555555555605</v>
      </c>
      <c r="F195" s="1">
        <v>132.46</v>
      </c>
      <c r="G195" s="1">
        <v>588</v>
      </c>
      <c r="H195" s="1">
        <v>4.4400000000000004</v>
      </c>
      <c r="I195" s="1" t="s">
        <v>20</v>
      </c>
      <c r="K195" s="1">
        <v>1</v>
      </c>
      <c r="L195">
        <f t="shared" ref="L195:L258" si="6">(K195/F195)</f>
        <v>7.5494488902310124E-3</v>
      </c>
      <c r="M195">
        <f t="shared" si="5"/>
        <v>7.5494488902310124</v>
      </c>
    </row>
    <row r="196" spans="1:13" ht="14.25" customHeight="1" x14ac:dyDescent="0.25">
      <c r="A196" s="1">
        <v>1</v>
      </c>
      <c r="B196" s="1" t="s">
        <v>9</v>
      </c>
      <c r="C196" s="2" t="s">
        <v>49</v>
      </c>
      <c r="D196" s="5">
        <v>45574</v>
      </c>
      <c r="E196" s="7">
        <v>0.5</v>
      </c>
      <c r="F196" s="1">
        <v>131.99</v>
      </c>
      <c r="G196" s="1">
        <v>2070</v>
      </c>
      <c r="H196" s="1">
        <v>15.68</v>
      </c>
      <c r="I196" s="1" t="s">
        <v>14</v>
      </c>
      <c r="K196" s="1">
        <v>6</v>
      </c>
      <c r="L196">
        <f t="shared" si="6"/>
        <v>4.5457989241609209E-2</v>
      </c>
      <c r="M196">
        <f t="shared" si="5"/>
        <v>45.457989241609212</v>
      </c>
    </row>
    <row r="197" spans="1:13" ht="14.25" customHeight="1" x14ac:dyDescent="0.25">
      <c r="A197" s="1">
        <v>1</v>
      </c>
      <c r="B197" s="1" t="s">
        <v>9</v>
      </c>
      <c r="C197" s="2" t="s">
        <v>49</v>
      </c>
      <c r="D197" s="5">
        <v>45574</v>
      </c>
      <c r="E197" s="7">
        <v>0.5</v>
      </c>
      <c r="F197" s="1">
        <v>131.99</v>
      </c>
      <c r="G197" s="1">
        <v>2070</v>
      </c>
      <c r="H197" s="1">
        <v>15.68</v>
      </c>
      <c r="I197" s="1" t="s">
        <v>20</v>
      </c>
      <c r="K197" s="1">
        <v>25</v>
      </c>
      <c r="L197">
        <f t="shared" si="6"/>
        <v>0.18940828850670505</v>
      </c>
      <c r="M197">
        <f t="shared" ref="M197:M260" si="7">L197*1000</f>
        <v>189.40828850670505</v>
      </c>
    </row>
    <row r="198" spans="1:13" ht="14.25" customHeight="1" x14ac:dyDescent="0.25">
      <c r="A198" s="1">
        <v>1</v>
      </c>
      <c r="B198" s="1" t="s">
        <v>9</v>
      </c>
      <c r="C198" s="2" t="s">
        <v>49</v>
      </c>
      <c r="D198" s="5">
        <v>45574</v>
      </c>
      <c r="E198" s="7">
        <v>0.5</v>
      </c>
      <c r="F198" s="1">
        <v>131.99</v>
      </c>
      <c r="G198" s="1">
        <v>2070</v>
      </c>
      <c r="H198" s="1">
        <v>15.68</v>
      </c>
      <c r="I198" s="1" t="s">
        <v>15</v>
      </c>
      <c r="J198" s="1" t="s">
        <v>30</v>
      </c>
      <c r="K198" s="1">
        <v>5</v>
      </c>
      <c r="L198">
        <f t="shared" si="6"/>
        <v>3.7881657701341005E-2</v>
      </c>
      <c r="M198">
        <f t="shared" si="7"/>
        <v>37.881657701341005</v>
      </c>
    </row>
    <row r="199" spans="1:13" ht="14.25" customHeight="1" x14ac:dyDescent="0.25">
      <c r="A199" s="1">
        <v>1</v>
      </c>
      <c r="B199" s="1" t="s">
        <v>9</v>
      </c>
      <c r="C199" s="2" t="s">
        <v>49</v>
      </c>
      <c r="D199" s="5">
        <v>45574</v>
      </c>
      <c r="E199" s="7">
        <v>0.5</v>
      </c>
      <c r="F199" s="1">
        <v>131.99</v>
      </c>
      <c r="G199" s="1">
        <v>2070</v>
      </c>
      <c r="H199" s="1">
        <v>15.68</v>
      </c>
      <c r="I199" s="1" t="s">
        <v>10</v>
      </c>
      <c r="J199" s="1" t="s">
        <v>11</v>
      </c>
      <c r="K199" s="1">
        <v>4</v>
      </c>
      <c r="L199">
        <f t="shared" si="6"/>
        <v>3.0305326161072805E-2</v>
      </c>
      <c r="M199">
        <f t="shared" si="7"/>
        <v>30.305326161072806</v>
      </c>
    </row>
    <row r="200" spans="1:13" ht="14.25" customHeight="1" x14ac:dyDescent="0.25">
      <c r="A200" s="1">
        <v>1</v>
      </c>
      <c r="B200" s="1" t="s">
        <v>9</v>
      </c>
      <c r="C200" s="2" t="s">
        <v>49</v>
      </c>
      <c r="D200" s="5">
        <v>45574</v>
      </c>
      <c r="E200" s="7">
        <v>0.5</v>
      </c>
      <c r="F200" s="1">
        <v>131.99</v>
      </c>
      <c r="G200" s="1">
        <v>2070</v>
      </c>
      <c r="H200" s="1">
        <v>15.68</v>
      </c>
      <c r="I200" s="1" t="s">
        <v>10</v>
      </c>
      <c r="J200" s="1" t="s">
        <v>13</v>
      </c>
      <c r="K200" s="1">
        <v>2</v>
      </c>
      <c r="L200">
        <f t="shared" si="6"/>
        <v>1.5152663080536402E-2</v>
      </c>
      <c r="M200">
        <f t="shared" si="7"/>
        <v>15.152663080536403</v>
      </c>
    </row>
    <row r="201" spans="1:13" ht="14.25" customHeight="1" x14ac:dyDescent="0.25">
      <c r="A201" s="1">
        <v>1</v>
      </c>
      <c r="B201" s="1" t="s">
        <v>9</v>
      </c>
      <c r="C201" s="2" t="s">
        <v>49</v>
      </c>
      <c r="D201" s="5">
        <v>45574</v>
      </c>
      <c r="E201" s="7">
        <v>0.5</v>
      </c>
      <c r="F201" s="1">
        <v>131.99</v>
      </c>
      <c r="G201" s="1">
        <v>2070</v>
      </c>
      <c r="H201" s="1">
        <v>15.68</v>
      </c>
      <c r="I201" s="1" t="s">
        <v>42</v>
      </c>
      <c r="J201" s="1" t="s">
        <v>29</v>
      </c>
      <c r="K201" s="1">
        <v>4</v>
      </c>
      <c r="L201">
        <f t="shared" si="6"/>
        <v>3.0305326161072805E-2</v>
      </c>
      <c r="M201">
        <f t="shared" si="7"/>
        <v>30.305326161072806</v>
      </c>
    </row>
    <row r="202" spans="1:13" ht="14.25" customHeight="1" x14ac:dyDescent="0.25">
      <c r="A202" s="1">
        <v>1</v>
      </c>
      <c r="B202" s="1" t="s">
        <v>9</v>
      </c>
      <c r="C202" s="2" t="s">
        <v>49</v>
      </c>
      <c r="D202" s="5">
        <v>45574</v>
      </c>
      <c r="E202" s="7">
        <v>0.5</v>
      </c>
      <c r="F202" s="1">
        <v>131.99</v>
      </c>
      <c r="G202" s="1">
        <v>2070</v>
      </c>
      <c r="H202" s="1">
        <v>15.68</v>
      </c>
      <c r="I202" s="1" t="s">
        <v>15</v>
      </c>
      <c r="K202" s="1">
        <v>3</v>
      </c>
      <c r="L202">
        <f t="shared" si="6"/>
        <v>2.2728994620804605E-2</v>
      </c>
      <c r="M202">
        <f t="shared" si="7"/>
        <v>22.728994620804606</v>
      </c>
    </row>
    <row r="203" spans="1:13" ht="14.25" customHeight="1" x14ac:dyDescent="0.25">
      <c r="A203" s="1">
        <v>1</v>
      </c>
      <c r="B203" s="1" t="s">
        <v>9</v>
      </c>
      <c r="C203" s="2" t="s">
        <v>49</v>
      </c>
      <c r="D203" s="5">
        <v>45574</v>
      </c>
      <c r="E203" s="7">
        <v>0.5</v>
      </c>
      <c r="F203" s="1">
        <v>131.99</v>
      </c>
      <c r="G203" s="1">
        <v>2070</v>
      </c>
      <c r="H203" s="1">
        <v>15.68</v>
      </c>
      <c r="I203" s="1" t="s">
        <v>42</v>
      </c>
      <c r="J203" s="1" t="s">
        <v>12</v>
      </c>
      <c r="K203" s="1">
        <v>12</v>
      </c>
      <c r="L203">
        <f t="shared" si="6"/>
        <v>9.0915978483218418E-2</v>
      </c>
      <c r="M203">
        <f t="shared" si="7"/>
        <v>90.915978483218424</v>
      </c>
    </row>
    <row r="204" spans="1:13" ht="14.25" customHeight="1" x14ac:dyDescent="0.25">
      <c r="A204" s="1">
        <v>1</v>
      </c>
      <c r="B204" s="1" t="s">
        <v>9</v>
      </c>
      <c r="C204" s="2" t="s">
        <v>49</v>
      </c>
      <c r="D204" s="5">
        <v>45574</v>
      </c>
      <c r="E204" s="7">
        <v>0.5</v>
      </c>
      <c r="F204" s="1">
        <v>131.99</v>
      </c>
      <c r="G204" s="1">
        <v>2070</v>
      </c>
      <c r="H204" s="1">
        <v>15.68</v>
      </c>
      <c r="I204" s="1" t="s">
        <v>18</v>
      </c>
      <c r="K204" s="1">
        <v>6</v>
      </c>
      <c r="L204">
        <f t="shared" si="6"/>
        <v>4.5457989241609209E-2</v>
      </c>
      <c r="M204">
        <f t="shared" si="7"/>
        <v>45.457989241609212</v>
      </c>
    </row>
    <row r="205" spans="1:13" ht="14.25" customHeight="1" x14ac:dyDescent="0.25">
      <c r="A205" s="1">
        <v>1</v>
      </c>
      <c r="B205" s="1" t="s">
        <v>9</v>
      </c>
      <c r="C205" s="2" t="s">
        <v>49</v>
      </c>
      <c r="D205" s="5">
        <v>45574</v>
      </c>
      <c r="E205" s="7">
        <v>0.5</v>
      </c>
      <c r="F205" s="1">
        <v>131.99</v>
      </c>
      <c r="G205" s="1">
        <v>2070</v>
      </c>
      <c r="H205" s="1">
        <v>15.68</v>
      </c>
      <c r="I205" s="1" t="s">
        <v>18</v>
      </c>
      <c r="J205" s="1" t="s">
        <v>13</v>
      </c>
      <c r="K205" s="1">
        <v>1</v>
      </c>
      <c r="L205">
        <f t="shared" si="6"/>
        <v>7.5763315402682012E-3</v>
      </c>
      <c r="M205">
        <f t="shared" si="7"/>
        <v>7.5763315402682014</v>
      </c>
    </row>
    <row r="206" spans="1:13" ht="14.25" customHeight="1" x14ac:dyDescent="0.25">
      <c r="A206" s="1">
        <v>1</v>
      </c>
      <c r="B206" s="1" t="s">
        <v>9</v>
      </c>
      <c r="C206" s="2" t="s">
        <v>49</v>
      </c>
      <c r="D206" s="5">
        <v>45574</v>
      </c>
      <c r="E206" s="7">
        <v>0.5</v>
      </c>
      <c r="F206" s="1">
        <v>131.99</v>
      </c>
      <c r="G206" s="1">
        <v>2070</v>
      </c>
      <c r="H206" s="1">
        <v>15.68</v>
      </c>
      <c r="I206" s="1" t="s">
        <v>23</v>
      </c>
      <c r="K206" s="1">
        <v>1</v>
      </c>
      <c r="L206">
        <f t="shared" si="6"/>
        <v>7.5763315402682012E-3</v>
      </c>
      <c r="M206">
        <f t="shared" si="7"/>
        <v>7.5763315402682014</v>
      </c>
    </row>
    <row r="207" spans="1:13" ht="14.25" customHeight="1" x14ac:dyDescent="0.25">
      <c r="A207" s="1">
        <v>2</v>
      </c>
      <c r="B207" s="1" t="s">
        <v>9</v>
      </c>
      <c r="C207" s="2" t="s">
        <v>49</v>
      </c>
      <c r="D207" s="5">
        <v>45574</v>
      </c>
      <c r="E207" s="7">
        <v>0.5</v>
      </c>
      <c r="F207" s="1">
        <v>131.99</v>
      </c>
      <c r="G207" s="1">
        <v>1350</v>
      </c>
      <c r="H207" s="1">
        <v>10.220000000000001</v>
      </c>
      <c r="I207" s="1" t="s">
        <v>18</v>
      </c>
      <c r="K207" s="1">
        <v>6</v>
      </c>
      <c r="L207">
        <f t="shared" si="6"/>
        <v>4.5457989241609209E-2</v>
      </c>
      <c r="M207">
        <f t="shared" si="7"/>
        <v>45.457989241609212</v>
      </c>
    </row>
    <row r="208" spans="1:13" ht="14.25" customHeight="1" x14ac:dyDescent="0.25">
      <c r="A208" s="1">
        <v>2</v>
      </c>
      <c r="B208" s="1" t="s">
        <v>9</v>
      </c>
      <c r="C208" s="2" t="s">
        <v>49</v>
      </c>
      <c r="D208" s="5">
        <v>45574</v>
      </c>
      <c r="E208" s="7">
        <v>0.5</v>
      </c>
      <c r="F208" s="1">
        <v>131.99</v>
      </c>
      <c r="G208" s="1">
        <v>1350</v>
      </c>
      <c r="H208" s="1">
        <v>10.220000000000001</v>
      </c>
      <c r="I208" s="1" t="s">
        <v>20</v>
      </c>
      <c r="K208" s="1">
        <v>18</v>
      </c>
      <c r="L208">
        <f t="shared" si="6"/>
        <v>0.13637396772482763</v>
      </c>
      <c r="M208">
        <f t="shared" si="7"/>
        <v>136.37396772482762</v>
      </c>
    </row>
    <row r="209" spans="1:13" ht="14.25" customHeight="1" x14ac:dyDescent="0.25">
      <c r="A209" s="1">
        <v>2</v>
      </c>
      <c r="B209" s="1" t="s">
        <v>9</v>
      </c>
      <c r="C209" s="2" t="s">
        <v>49</v>
      </c>
      <c r="D209" s="5">
        <v>45574</v>
      </c>
      <c r="E209" s="7">
        <v>0.5</v>
      </c>
      <c r="F209" s="1">
        <v>131.99</v>
      </c>
      <c r="G209" s="1">
        <v>1350</v>
      </c>
      <c r="H209" s="1">
        <v>10.220000000000001</v>
      </c>
      <c r="I209" s="1" t="s">
        <v>14</v>
      </c>
      <c r="K209" s="1">
        <v>5</v>
      </c>
      <c r="L209">
        <f t="shared" si="6"/>
        <v>3.7881657701341005E-2</v>
      </c>
      <c r="M209">
        <f t="shared" si="7"/>
        <v>37.881657701341005</v>
      </c>
    </row>
    <row r="210" spans="1:13" ht="14.25" customHeight="1" x14ac:dyDescent="0.25">
      <c r="A210" s="1">
        <v>2</v>
      </c>
      <c r="B210" s="1" t="s">
        <v>9</v>
      </c>
      <c r="C210" s="2" t="s">
        <v>49</v>
      </c>
      <c r="D210" s="5">
        <v>45574</v>
      </c>
      <c r="E210" s="7">
        <v>0.5</v>
      </c>
      <c r="F210" s="1">
        <v>131.99</v>
      </c>
      <c r="G210" s="1">
        <v>1350</v>
      </c>
      <c r="H210" s="1">
        <v>10.220000000000001</v>
      </c>
      <c r="I210" s="1" t="s">
        <v>42</v>
      </c>
      <c r="J210" s="1" t="s">
        <v>12</v>
      </c>
      <c r="K210" s="1">
        <v>5</v>
      </c>
      <c r="L210">
        <f t="shared" si="6"/>
        <v>3.7881657701341005E-2</v>
      </c>
      <c r="M210">
        <f t="shared" si="7"/>
        <v>37.881657701341005</v>
      </c>
    </row>
    <row r="211" spans="1:13" ht="14.25" customHeight="1" x14ac:dyDescent="0.25">
      <c r="A211" s="1">
        <v>2</v>
      </c>
      <c r="B211" s="1" t="s">
        <v>9</v>
      </c>
      <c r="C211" s="2" t="s">
        <v>49</v>
      </c>
      <c r="D211" s="5">
        <v>45574</v>
      </c>
      <c r="E211" s="7">
        <v>0.5</v>
      </c>
      <c r="F211" s="1">
        <v>131.99</v>
      </c>
      <c r="G211" s="1">
        <v>1350</v>
      </c>
      <c r="H211" s="1">
        <v>10.220000000000001</v>
      </c>
      <c r="I211" s="1" t="s">
        <v>15</v>
      </c>
      <c r="K211" s="1">
        <v>3</v>
      </c>
      <c r="L211">
        <f t="shared" si="6"/>
        <v>2.2728994620804605E-2</v>
      </c>
      <c r="M211">
        <f t="shared" si="7"/>
        <v>22.728994620804606</v>
      </c>
    </row>
    <row r="212" spans="1:13" ht="14.25" customHeight="1" x14ac:dyDescent="0.25">
      <c r="A212" s="1">
        <v>2</v>
      </c>
      <c r="B212" s="1" t="s">
        <v>9</v>
      </c>
      <c r="C212" s="2" t="s">
        <v>49</v>
      </c>
      <c r="D212" s="5">
        <v>45574</v>
      </c>
      <c r="E212" s="7">
        <v>0.5</v>
      </c>
      <c r="F212" s="1">
        <v>131.99</v>
      </c>
      <c r="G212" s="1">
        <v>1350</v>
      </c>
      <c r="H212" s="1">
        <v>10.220000000000001</v>
      </c>
      <c r="I212" s="1" t="s">
        <v>10</v>
      </c>
      <c r="J212" s="1" t="s">
        <v>13</v>
      </c>
      <c r="K212" s="1">
        <v>2</v>
      </c>
      <c r="L212">
        <f t="shared" si="6"/>
        <v>1.5152663080536402E-2</v>
      </c>
      <c r="M212">
        <f t="shared" si="7"/>
        <v>15.152663080536403</v>
      </c>
    </row>
    <row r="213" spans="1:13" ht="14.25" customHeight="1" x14ac:dyDescent="0.25">
      <c r="A213" s="1">
        <v>2</v>
      </c>
      <c r="B213" s="1" t="s">
        <v>9</v>
      </c>
      <c r="C213" s="2" t="s">
        <v>49</v>
      </c>
      <c r="D213" s="5">
        <v>45574</v>
      </c>
      <c r="E213" s="7">
        <v>0.5</v>
      </c>
      <c r="F213" s="1">
        <v>131.99</v>
      </c>
      <c r="G213" s="1">
        <v>1350</v>
      </c>
      <c r="H213" s="1">
        <v>10.220000000000001</v>
      </c>
      <c r="I213" s="1" t="s">
        <v>42</v>
      </c>
      <c r="J213" s="1" t="s">
        <v>29</v>
      </c>
      <c r="K213" s="1">
        <v>3</v>
      </c>
      <c r="L213">
        <f t="shared" si="6"/>
        <v>2.2728994620804605E-2</v>
      </c>
      <c r="M213">
        <f t="shared" si="7"/>
        <v>22.728994620804606</v>
      </c>
    </row>
    <row r="214" spans="1:13" ht="14.25" customHeight="1" x14ac:dyDescent="0.25">
      <c r="A214" s="1">
        <v>2</v>
      </c>
      <c r="B214" s="1" t="s">
        <v>9</v>
      </c>
      <c r="C214" s="2" t="s">
        <v>49</v>
      </c>
      <c r="D214" s="5">
        <v>45574</v>
      </c>
      <c r="E214" s="7">
        <v>0.5</v>
      </c>
      <c r="F214" s="1">
        <v>131.99</v>
      </c>
      <c r="G214" s="1">
        <v>1350</v>
      </c>
      <c r="H214" s="1">
        <v>10.220000000000001</v>
      </c>
      <c r="I214" s="1" t="s">
        <v>23</v>
      </c>
      <c r="K214" s="1">
        <v>1</v>
      </c>
      <c r="L214">
        <f t="shared" si="6"/>
        <v>7.5763315402682012E-3</v>
      </c>
      <c r="M214">
        <f t="shared" si="7"/>
        <v>7.5763315402682014</v>
      </c>
    </row>
    <row r="215" spans="1:13" ht="14.25" customHeight="1" x14ac:dyDescent="0.25">
      <c r="A215" s="1">
        <v>2</v>
      </c>
      <c r="B215" s="1" t="s">
        <v>9</v>
      </c>
      <c r="C215" s="2" t="s">
        <v>49</v>
      </c>
      <c r="D215" s="5">
        <v>45574</v>
      </c>
      <c r="E215" s="7">
        <v>0.5</v>
      </c>
      <c r="F215" s="1">
        <v>131.99</v>
      </c>
      <c r="G215" s="1">
        <v>1350</v>
      </c>
      <c r="H215" s="1">
        <v>10.220000000000001</v>
      </c>
      <c r="I215" s="1" t="s">
        <v>15</v>
      </c>
      <c r="J215" s="1" t="s">
        <v>30</v>
      </c>
      <c r="K215" s="1">
        <v>1</v>
      </c>
      <c r="L215">
        <f t="shared" si="6"/>
        <v>7.5763315402682012E-3</v>
      </c>
      <c r="M215">
        <f t="shared" si="7"/>
        <v>7.5763315402682014</v>
      </c>
    </row>
    <row r="216" spans="1:13" ht="14.25" customHeight="1" x14ac:dyDescent="0.25">
      <c r="A216" s="1">
        <v>2</v>
      </c>
      <c r="B216" s="1" t="s">
        <v>9</v>
      </c>
      <c r="C216" s="2" t="s">
        <v>49</v>
      </c>
      <c r="D216" s="5">
        <v>45574</v>
      </c>
      <c r="E216" s="7">
        <v>0.5</v>
      </c>
      <c r="F216" s="1">
        <v>131.99</v>
      </c>
      <c r="G216" s="1">
        <v>1350</v>
      </c>
      <c r="H216" s="1">
        <v>10.220000000000001</v>
      </c>
      <c r="I216" s="1" t="s">
        <v>10</v>
      </c>
      <c r="J216" s="1" t="s">
        <v>11</v>
      </c>
      <c r="K216" s="1">
        <v>1</v>
      </c>
      <c r="L216">
        <f t="shared" si="6"/>
        <v>7.5763315402682012E-3</v>
      </c>
      <c r="M216">
        <f t="shared" si="7"/>
        <v>7.5763315402682014</v>
      </c>
    </row>
    <row r="217" spans="1:13" ht="14.25" customHeight="1" x14ac:dyDescent="0.25">
      <c r="A217" s="1">
        <v>3</v>
      </c>
      <c r="B217" s="1" t="s">
        <v>9</v>
      </c>
      <c r="C217" s="2" t="s">
        <v>49</v>
      </c>
      <c r="D217" s="5">
        <v>45574</v>
      </c>
      <c r="E217" s="7">
        <v>0.5</v>
      </c>
      <c r="F217" s="1">
        <v>131.99</v>
      </c>
      <c r="G217" s="1">
        <v>1860</v>
      </c>
      <c r="H217" s="1">
        <v>14.1</v>
      </c>
      <c r="I217" s="1" t="s">
        <v>14</v>
      </c>
      <c r="K217" s="1">
        <v>5</v>
      </c>
      <c r="L217">
        <f t="shared" si="6"/>
        <v>3.7881657701341005E-2</v>
      </c>
      <c r="M217">
        <f t="shared" si="7"/>
        <v>37.881657701341005</v>
      </c>
    </row>
    <row r="218" spans="1:13" ht="14.25" customHeight="1" x14ac:dyDescent="0.25">
      <c r="A218" s="1">
        <v>3</v>
      </c>
      <c r="B218" s="1" t="s">
        <v>9</v>
      </c>
      <c r="C218" s="2" t="s">
        <v>49</v>
      </c>
      <c r="D218" s="5">
        <v>45574</v>
      </c>
      <c r="E218" s="7">
        <v>0.5</v>
      </c>
      <c r="F218" s="1">
        <v>131.99</v>
      </c>
      <c r="G218" s="1">
        <v>1860</v>
      </c>
      <c r="H218" s="1">
        <v>14.1</v>
      </c>
      <c r="I218" s="1" t="s">
        <v>20</v>
      </c>
      <c r="K218" s="1">
        <v>23</v>
      </c>
      <c r="L218">
        <f t="shared" si="6"/>
        <v>0.17425562542616863</v>
      </c>
      <c r="M218">
        <f t="shared" si="7"/>
        <v>174.25562542616862</v>
      </c>
    </row>
    <row r="219" spans="1:13" ht="14.25" customHeight="1" x14ac:dyDescent="0.25">
      <c r="A219" s="1">
        <v>3</v>
      </c>
      <c r="B219" s="1" t="s">
        <v>9</v>
      </c>
      <c r="C219" s="2" t="s">
        <v>49</v>
      </c>
      <c r="D219" s="5">
        <v>45574</v>
      </c>
      <c r="E219" s="7">
        <v>0.5</v>
      </c>
      <c r="F219" s="1">
        <v>131.99</v>
      </c>
      <c r="G219" s="1">
        <v>1860</v>
      </c>
      <c r="H219" s="1">
        <v>14.1</v>
      </c>
      <c r="I219" s="1" t="s">
        <v>18</v>
      </c>
      <c r="K219" s="1">
        <v>12</v>
      </c>
      <c r="L219">
        <f t="shared" si="6"/>
        <v>9.0915978483218418E-2</v>
      </c>
      <c r="M219">
        <f t="shared" si="7"/>
        <v>90.915978483218424</v>
      </c>
    </row>
    <row r="220" spans="1:13" ht="14.25" customHeight="1" x14ac:dyDescent="0.25">
      <c r="A220" s="1">
        <v>3</v>
      </c>
      <c r="B220" s="1" t="s">
        <v>9</v>
      </c>
      <c r="C220" s="2" t="s">
        <v>49</v>
      </c>
      <c r="D220" s="5">
        <v>45574</v>
      </c>
      <c r="E220" s="7">
        <v>0.5</v>
      </c>
      <c r="F220" s="1">
        <v>131.99</v>
      </c>
      <c r="G220" s="1">
        <v>1860</v>
      </c>
      <c r="H220" s="1">
        <v>14.1</v>
      </c>
      <c r="I220" s="1" t="s">
        <v>15</v>
      </c>
      <c r="K220" s="1">
        <v>8</v>
      </c>
      <c r="L220">
        <f t="shared" si="6"/>
        <v>6.061065232214561E-2</v>
      </c>
      <c r="M220">
        <f t="shared" si="7"/>
        <v>60.610652322145611</v>
      </c>
    </row>
    <row r="221" spans="1:13" ht="14.25" customHeight="1" x14ac:dyDescent="0.25">
      <c r="A221" s="1">
        <v>3</v>
      </c>
      <c r="B221" s="1" t="s">
        <v>9</v>
      </c>
      <c r="C221" s="2" t="s">
        <v>49</v>
      </c>
      <c r="D221" s="5">
        <v>45574</v>
      </c>
      <c r="E221" s="7">
        <v>0.5</v>
      </c>
      <c r="F221" s="1">
        <v>131.99</v>
      </c>
      <c r="G221" s="1">
        <v>1860</v>
      </c>
      <c r="H221" s="1">
        <v>14.1</v>
      </c>
      <c r="I221" s="1" t="s">
        <v>42</v>
      </c>
      <c r="J221" s="1" t="s">
        <v>12</v>
      </c>
      <c r="K221" s="1">
        <v>2</v>
      </c>
      <c r="L221">
        <f t="shared" si="6"/>
        <v>1.5152663080536402E-2</v>
      </c>
      <c r="M221">
        <f t="shared" si="7"/>
        <v>15.152663080536403</v>
      </c>
    </row>
    <row r="222" spans="1:13" ht="14.25" customHeight="1" x14ac:dyDescent="0.25">
      <c r="A222" s="1">
        <v>3</v>
      </c>
      <c r="B222" s="1" t="s">
        <v>9</v>
      </c>
      <c r="C222" s="2" t="s">
        <v>49</v>
      </c>
      <c r="D222" s="5">
        <v>45574</v>
      </c>
      <c r="E222" s="7">
        <v>0.5</v>
      </c>
      <c r="F222" s="1">
        <v>131.99</v>
      </c>
      <c r="G222" s="1">
        <v>1860</v>
      </c>
      <c r="H222" s="1">
        <v>14.1</v>
      </c>
      <c r="I222" s="1" t="s">
        <v>42</v>
      </c>
      <c r="J222" s="1" t="s">
        <v>29</v>
      </c>
      <c r="K222" s="1">
        <v>3</v>
      </c>
      <c r="L222">
        <f t="shared" si="6"/>
        <v>2.2728994620804605E-2</v>
      </c>
      <c r="M222">
        <f t="shared" si="7"/>
        <v>22.728994620804606</v>
      </c>
    </row>
    <row r="223" spans="1:13" ht="14.25" customHeight="1" x14ac:dyDescent="0.25">
      <c r="A223" s="1">
        <v>3</v>
      </c>
      <c r="B223" s="1" t="s">
        <v>9</v>
      </c>
      <c r="C223" s="2" t="s">
        <v>49</v>
      </c>
      <c r="D223" s="5">
        <v>45574</v>
      </c>
      <c r="E223" s="7">
        <v>0.5</v>
      </c>
      <c r="F223" s="1">
        <v>131.99</v>
      </c>
      <c r="G223" s="1">
        <v>1860</v>
      </c>
      <c r="H223" s="1">
        <v>14.1</v>
      </c>
      <c r="I223" s="1" t="s">
        <v>15</v>
      </c>
      <c r="J223" s="1" t="s">
        <v>30</v>
      </c>
      <c r="K223" s="1">
        <v>2</v>
      </c>
      <c r="L223">
        <f t="shared" si="6"/>
        <v>1.5152663080536402E-2</v>
      </c>
      <c r="M223">
        <f t="shared" si="7"/>
        <v>15.152663080536403</v>
      </c>
    </row>
    <row r="224" spans="1:13" ht="14.25" customHeight="1" x14ac:dyDescent="0.25">
      <c r="A224" s="1">
        <v>3</v>
      </c>
      <c r="B224" s="1" t="s">
        <v>9</v>
      </c>
      <c r="C224" s="2" t="s">
        <v>49</v>
      </c>
      <c r="D224" s="5">
        <v>45574</v>
      </c>
      <c r="E224" s="7">
        <v>0.5</v>
      </c>
      <c r="F224" s="1">
        <v>131.99</v>
      </c>
      <c r="G224" s="1">
        <v>1860</v>
      </c>
      <c r="H224" s="1">
        <v>14.1</v>
      </c>
      <c r="I224" s="1" t="s">
        <v>10</v>
      </c>
      <c r="J224" s="1" t="s">
        <v>11</v>
      </c>
      <c r="K224" s="1">
        <v>5</v>
      </c>
      <c r="L224">
        <f t="shared" si="6"/>
        <v>3.7881657701341005E-2</v>
      </c>
      <c r="M224">
        <f t="shared" si="7"/>
        <v>37.881657701341005</v>
      </c>
    </row>
    <row r="225" spans="1:13" ht="14.25" customHeight="1" x14ac:dyDescent="0.25">
      <c r="A225" s="1">
        <v>3</v>
      </c>
      <c r="B225" s="1" t="s">
        <v>9</v>
      </c>
      <c r="C225" s="2" t="s">
        <v>49</v>
      </c>
      <c r="D225" s="5">
        <v>45574</v>
      </c>
      <c r="E225" s="7">
        <v>0.5</v>
      </c>
      <c r="F225" s="1">
        <v>131.99</v>
      </c>
      <c r="G225" s="1">
        <v>1860</v>
      </c>
      <c r="H225" s="1">
        <v>14.1</v>
      </c>
      <c r="I225" s="1" t="s">
        <v>10</v>
      </c>
      <c r="J225" s="1" t="s">
        <v>13</v>
      </c>
      <c r="K225" s="1">
        <v>1</v>
      </c>
      <c r="L225">
        <f t="shared" si="6"/>
        <v>7.5763315402682012E-3</v>
      </c>
      <c r="M225">
        <f t="shared" si="7"/>
        <v>7.5763315402682014</v>
      </c>
    </row>
    <row r="226" spans="1:13" ht="14.25" customHeight="1" x14ac:dyDescent="0.25">
      <c r="A226" s="1">
        <v>3</v>
      </c>
      <c r="B226" s="1" t="s">
        <v>9</v>
      </c>
      <c r="C226" s="2" t="s">
        <v>49</v>
      </c>
      <c r="D226" s="5">
        <v>45574</v>
      </c>
      <c r="E226" s="7">
        <v>0.5</v>
      </c>
      <c r="F226" s="1">
        <v>131.99</v>
      </c>
      <c r="G226" s="1">
        <v>1860</v>
      </c>
      <c r="H226" s="1">
        <v>14.1</v>
      </c>
      <c r="I226" s="1" t="s">
        <v>23</v>
      </c>
      <c r="K226" s="1">
        <v>1</v>
      </c>
      <c r="L226">
        <f t="shared" si="6"/>
        <v>7.5763315402682012E-3</v>
      </c>
      <c r="M226">
        <f t="shared" si="7"/>
        <v>7.5763315402682014</v>
      </c>
    </row>
    <row r="227" spans="1:13" ht="14.25" customHeight="1" x14ac:dyDescent="0.25">
      <c r="A227" s="1">
        <v>1</v>
      </c>
      <c r="B227" s="1" t="s">
        <v>9</v>
      </c>
      <c r="C227" s="2" t="s">
        <v>49</v>
      </c>
      <c r="D227" s="5">
        <v>45534</v>
      </c>
      <c r="E227" s="6">
        <v>0.47430555555555554</v>
      </c>
      <c r="F227" s="1">
        <v>134.71</v>
      </c>
      <c r="G227" s="1">
        <v>6450</v>
      </c>
      <c r="H227" s="1">
        <v>47.88</v>
      </c>
      <c r="I227" s="1" t="s">
        <v>42</v>
      </c>
      <c r="J227" s="1" t="s">
        <v>12</v>
      </c>
      <c r="K227" s="1">
        <v>133</v>
      </c>
      <c r="L227">
        <f t="shared" si="6"/>
        <v>0.98730606488011274</v>
      </c>
      <c r="M227">
        <f t="shared" si="7"/>
        <v>987.30606488011279</v>
      </c>
    </row>
    <row r="228" spans="1:13" ht="14.25" customHeight="1" x14ac:dyDescent="0.25">
      <c r="A228" s="1">
        <v>1</v>
      </c>
      <c r="B228" s="1" t="s">
        <v>9</v>
      </c>
      <c r="C228" s="2" t="s">
        <v>49</v>
      </c>
      <c r="D228" s="5">
        <v>45534</v>
      </c>
      <c r="E228" s="6">
        <v>0.47430555555555554</v>
      </c>
      <c r="F228" s="1">
        <v>134.71</v>
      </c>
      <c r="G228" s="1">
        <v>6450</v>
      </c>
      <c r="H228" s="1">
        <v>47.88</v>
      </c>
      <c r="I228" s="1" t="s">
        <v>18</v>
      </c>
      <c r="J228" s="1" t="s">
        <v>19</v>
      </c>
      <c r="K228" s="1">
        <v>3</v>
      </c>
      <c r="L228">
        <f t="shared" si="6"/>
        <v>2.2270061613837131E-2</v>
      </c>
      <c r="M228">
        <f t="shared" si="7"/>
        <v>22.270061613837132</v>
      </c>
    </row>
    <row r="229" spans="1:13" ht="14.25" customHeight="1" x14ac:dyDescent="0.25">
      <c r="A229" s="1">
        <v>1</v>
      </c>
      <c r="B229" s="1" t="s">
        <v>9</v>
      </c>
      <c r="C229" s="2" t="s">
        <v>49</v>
      </c>
      <c r="D229" s="5">
        <v>45534</v>
      </c>
      <c r="E229" s="6">
        <v>0.47430555555555554</v>
      </c>
      <c r="F229" s="1">
        <v>134.71</v>
      </c>
      <c r="G229" s="1">
        <v>6450</v>
      </c>
      <c r="H229" s="1">
        <v>47.88</v>
      </c>
      <c r="I229" s="1" t="s">
        <v>10</v>
      </c>
      <c r="J229" s="1" t="s">
        <v>11</v>
      </c>
      <c r="K229" s="1">
        <v>52</v>
      </c>
      <c r="L229">
        <f t="shared" si="6"/>
        <v>0.38601440130651027</v>
      </c>
      <c r="M229">
        <f t="shared" si="7"/>
        <v>386.01440130651025</v>
      </c>
    </row>
    <row r="230" spans="1:13" ht="14.25" customHeight="1" x14ac:dyDescent="0.25">
      <c r="A230" s="1">
        <v>1</v>
      </c>
      <c r="B230" s="1" t="s">
        <v>9</v>
      </c>
      <c r="C230" s="2" t="s">
        <v>49</v>
      </c>
      <c r="D230" s="5">
        <v>45534</v>
      </c>
      <c r="E230" s="6">
        <v>0.47430555555555554</v>
      </c>
      <c r="F230" s="1">
        <v>134.71</v>
      </c>
      <c r="G230" s="1">
        <v>6450</v>
      </c>
      <c r="H230" s="1">
        <v>47.88</v>
      </c>
      <c r="I230" s="1" t="s">
        <v>10</v>
      </c>
      <c r="J230" s="1" t="s">
        <v>13</v>
      </c>
      <c r="K230" s="1">
        <v>3</v>
      </c>
      <c r="L230">
        <f t="shared" si="6"/>
        <v>2.2270061613837131E-2</v>
      </c>
      <c r="M230">
        <f t="shared" si="7"/>
        <v>22.270061613837132</v>
      </c>
    </row>
    <row r="231" spans="1:13" ht="14.25" customHeight="1" x14ac:dyDescent="0.25">
      <c r="A231" s="1">
        <v>1</v>
      </c>
      <c r="B231" s="1" t="s">
        <v>9</v>
      </c>
      <c r="C231" s="2" t="s">
        <v>49</v>
      </c>
      <c r="D231" s="5">
        <v>45534</v>
      </c>
      <c r="E231" s="6">
        <v>0.47430555555555554</v>
      </c>
      <c r="F231" s="1">
        <v>134.71</v>
      </c>
      <c r="G231" s="1">
        <v>6450</v>
      </c>
      <c r="H231" s="1">
        <v>47.88</v>
      </c>
      <c r="I231" s="1" t="s">
        <v>45</v>
      </c>
      <c r="J231" s="1" t="s">
        <v>32</v>
      </c>
      <c r="K231" s="1">
        <v>2</v>
      </c>
      <c r="L231">
        <f t="shared" si="6"/>
        <v>1.4846707742558087E-2</v>
      </c>
      <c r="M231">
        <f t="shared" si="7"/>
        <v>14.846707742558086</v>
      </c>
    </row>
    <row r="232" spans="1:13" ht="14.25" customHeight="1" x14ac:dyDescent="0.25">
      <c r="A232" s="1">
        <v>1</v>
      </c>
      <c r="B232" s="1" t="s">
        <v>9</v>
      </c>
      <c r="C232" s="2" t="s">
        <v>49</v>
      </c>
      <c r="D232" s="5">
        <v>45534</v>
      </c>
      <c r="E232" s="6">
        <v>0.47430555555555554</v>
      </c>
      <c r="F232" s="1">
        <v>134.71</v>
      </c>
      <c r="G232" s="1">
        <v>6450</v>
      </c>
      <c r="H232" s="1">
        <v>47.88</v>
      </c>
      <c r="I232" s="1" t="s">
        <v>14</v>
      </c>
      <c r="K232" s="1">
        <v>13</v>
      </c>
      <c r="L232">
        <f t="shared" si="6"/>
        <v>9.6503600326627567E-2</v>
      </c>
      <c r="M232">
        <f t="shared" si="7"/>
        <v>96.503600326627563</v>
      </c>
    </row>
    <row r="233" spans="1:13" ht="14.25" customHeight="1" x14ac:dyDescent="0.25">
      <c r="A233" s="1">
        <v>1</v>
      </c>
      <c r="B233" s="1" t="s">
        <v>9</v>
      </c>
      <c r="C233" s="2" t="s">
        <v>49</v>
      </c>
      <c r="D233" s="5">
        <v>45534</v>
      </c>
      <c r="E233" s="6">
        <v>0.47430555555555554</v>
      </c>
      <c r="F233" s="1">
        <v>134.71</v>
      </c>
      <c r="G233" s="1">
        <v>6450</v>
      </c>
      <c r="H233" s="1">
        <v>47.880000000000102</v>
      </c>
      <c r="I233" s="1" t="s">
        <v>42</v>
      </c>
      <c r="J233" s="1" t="s">
        <v>29</v>
      </c>
      <c r="K233" s="1">
        <v>7</v>
      </c>
      <c r="L233">
        <f t="shared" si="6"/>
        <v>5.1963477098953305E-2</v>
      </c>
      <c r="M233">
        <f t="shared" si="7"/>
        <v>51.963477098953305</v>
      </c>
    </row>
    <row r="234" spans="1:13" ht="14.25" customHeight="1" x14ac:dyDescent="0.25">
      <c r="A234" s="1">
        <v>1</v>
      </c>
      <c r="B234" s="1" t="s">
        <v>9</v>
      </c>
      <c r="C234" s="2" t="s">
        <v>49</v>
      </c>
      <c r="D234" s="5">
        <v>45534</v>
      </c>
      <c r="E234" s="6">
        <v>0.47430555555555554</v>
      </c>
      <c r="F234" s="1">
        <v>134.71</v>
      </c>
      <c r="G234" s="1">
        <v>6450</v>
      </c>
      <c r="H234" s="1">
        <v>47.880000000000102</v>
      </c>
      <c r="I234" s="1" t="s">
        <v>31</v>
      </c>
      <c r="J234" s="1" t="s">
        <v>32</v>
      </c>
      <c r="K234" s="1">
        <v>1</v>
      </c>
      <c r="L234">
        <f t="shared" si="6"/>
        <v>7.4233538712790434E-3</v>
      </c>
      <c r="M234">
        <f t="shared" si="7"/>
        <v>7.4233538712790432</v>
      </c>
    </row>
    <row r="235" spans="1:13" ht="14.25" customHeight="1" x14ac:dyDescent="0.25">
      <c r="A235" s="1">
        <v>1</v>
      </c>
      <c r="B235" s="1" t="s">
        <v>9</v>
      </c>
      <c r="C235" s="2" t="s">
        <v>49</v>
      </c>
      <c r="D235" s="5">
        <v>45534</v>
      </c>
      <c r="E235" s="6">
        <v>0.47430555555555554</v>
      </c>
      <c r="F235" s="1">
        <v>134.71</v>
      </c>
      <c r="G235" s="1">
        <v>6450</v>
      </c>
      <c r="H235" s="1">
        <v>47.880000000000102</v>
      </c>
      <c r="I235" s="1" t="s">
        <v>27</v>
      </c>
      <c r="K235" s="1">
        <v>1</v>
      </c>
      <c r="L235">
        <f t="shared" si="6"/>
        <v>7.4233538712790434E-3</v>
      </c>
      <c r="M235">
        <f t="shared" si="7"/>
        <v>7.4233538712790432</v>
      </c>
    </row>
    <row r="236" spans="1:13" ht="14.25" customHeight="1" x14ac:dyDescent="0.25">
      <c r="A236" s="1">
        <v>2</v>
      </c>
      <c r="B236" s="1" t="s">
        <v>9</v>
      </c>
      <c r="C236" s="2" t="s">
        <v>49</v>
      </c>
      <c r="D236" s="5">
        <v>45534</v>
      </c>
      <c r="E236" s="6">
        <v>0.47430555555555554</v>
      </c>
      <c r="F236" s="1">
        <v>134.71</v>
      </c>
      <c r="G236" s="1">
        <v>7700</v>
      </c>
      <c r="H236" s="1">
        <v>57.16</v>
      </c>
      <c r="I236" s="1" t="s">
        <v>10</v>
      </c>
      <c r="J236" s="1" t="s">
        <v>11</v>
      </c>
      <c r="K236" s="1">
        <v>25</v>
      </c>
      <c r="L236">
        <f t="shared" si="6"/>
        <v>0.18558384678197609</v>
      </c>
      <c r="M236">
        <f t="shared" si="7"/>
        <v>185.58384678197609</v>
      </c>
    </row>
    <row r="237" spans="1:13" ht="14.25" customHeight="1" x14ac:dyDescent="0.25">
      <c r="A237" s="1">
        <v>2</v>
      </c>
      <c r="B237" s="1" t="s">
        <v>9</v>
      </c>
      <c r="C237" s="2" t="s">
        <v>49</v>
      </c>
      <c r="D237" s="5">
        <v>45534</v>
      </c>
      <c r="E237" s="6">
        <v>0.47430555555555554</v>
      </c>
      <c r="F237" s="1">
        <v>134.71</v>
      </c>
      <c r="G237" s="1">
        <v>7700</v>
      </c>
      <c r="H237" s="1">
        <v>57.16</v>
      </c>
      <c r="I237" s="1" t="s">
        <v>42</v>
      </c>
      <c r="J237" s="1" t="s">
        <v>12</v>
      </c>
      <c r="K237" s="1">
        <v>101</v>
      </c>
      <c r="L237">
        <f t="shared" si="6"/>
        <v>0.74975874099918338</v>
      </c>
      <c r="M237">
        <f t="shared" si="7"/>
        <v>749.75874099918337</v>
      </c>
    </row>
    <row r="238" spans="1:13" ht="14.25" customHeight="1" x14ac:dyDescent="0.25">
      <c r="A238" s="1">
        <v>2</v>
      </c>
      <c r="B238" s="1" t="s">
        <v>9</v>
      </c>
      <c r="C238" s="2" t="s">
        <v>49</v>
      </c>
      <c r="D238" s="5">
        <v>45534</v>
      </c>
      <c r="E238" s="6">
        <v>0.47430555555555554</v>
      </c>
      <c r="F238" s="1">
        <v>134.71</v>
      </c>
      <c r="G238" s="1">
        <v>7700</v>
      </c>
      <c r="H238" s="1">
        <v>57.16</v>
      </c>
      <c r="I238" s="1" t="s">
        <v>42</v>
      </c>
      <c r="J238" s="1" t="s">
        <v>17</v>
      </c>
      <c r="K238" s="1">
        <v>3</v>
      </c>
      <c r="L238">
        <f t="shared" si="6"/>
        <v>2.2270061613837131E-2</v>
      </c>
      <c r="M238">
        <f t="shared" si="7"/>
        <v>22.270061613837132</v>
      </c>
    </row>
    <row r="239" spans="1:13" ht="14.25" customHeight="1" x14ac:dyDescent="0.25">
      <c r="A239" s="1">
        <v>2</v>
      </c>
      <c r="B239" s="1" t="s">
        <v>9</v>
      </c>
      <c r="C239" s="2" t="s">
        <v>49</v>
      </c>
      <c r="D239" s="5">
        <v>45534</v>
      </c>
      <c r="E239" s="6">
        <v>0.47430555555555554</v>
      </c>
      <c r="F239" s="1">
        <v>134.71</v>
      </c>
      <c r="G239" s="1">
        <v>7700</v>
      </c>
      <c r="H239" s="1">
        <v>57.16</v>
      </c>
      <c r="I239" s="1" t="s">
        <v>18</v>
      </c>
      <c r="J239" s="1" t="s">
        <v>19</v>
      </c>
      <c r="K239" s="1">
        <v>9</v>
      </c>
      <c r="L239">
        <f t="shared" si="6"/>
        <v>6.6810184841511397E-2</v>
      </c>
      <c r="M239">
        <f t="shared" si="7"/>
        <v>66.810184841511401</v>
      </c>
    </row>
    <row r="240" spans="1:13" ht="14.25" customHeight="1" x14ac:dyDescent="0.25">
      <c r="A240" s="1">
        <v>2</v>
      </c>
      <c r="B240" s="1" t="s">
        <v>9</v>
      </c>
      <c r="C240" s="2" t="s">
        <v>49</v>
      </c>
      <c r="D240" s="5">
        <v>45534</v>
      </c>
      <c r="E240" s="6">
        <v>0.47430555555555554</v>
      </c>
      <c r="F240" s="1">
        <v>134.71</v>
      </c>
      <c r="G240" s="1">
        <v>7700</v>
      </c>
      <c r="H240" s="1">
        <v>57.16</v>
      </c>
      <c r="I240" s="1" t="s">
        <v>42</v>
      </c>
      <c r="J240" s="1" t="s">
        <v>29</v>
      </c>
      <c r="K240" s="1">
        <v>4</v>
      </c>
      <c r="L240">
        <f t="shared" si="6"/>
        <v>2.9693415485116174E-2</v>
      </c>
      <c r="M240">
        <f t="shared" si="7"/>
        <v>29.693415485116173</v>
      </c>
    </row>
    <row r="241" spans="1:13" ht="14.25" customHeight="1" x14ac:dyDescent="0.25">
      <c r="A241" s="1">
        <v>2</v>
      </c>
      <c r="B241" s="1" t="s">
        <v>9</v>
      </c>
      <c r="C241" s="2" t="s">
        <v>49</v>
      </c>
      <c r="D241" s="5">
        <v>45534</v>
      </c>
      <c r="E241" s="6">
        <v>0.47430555555555554</v>
      </c>
      <c r="F241" s="1">
        <v>134.71</v>
      </c>
      <c r="G241" s="1">
        <v>7700</v>
      </c>
      <c r="H241" s="1">
        <v>57.16</v>
      </c>
      <c r="I241" s="1" t="s">
        <v>10</v>
      </c>
      <c r="J241" s="1" t="s">
        <v>13</v>
      </c>
      <c r="K241" s="1">
        <v>1</v>
      </c>
      <c r="L241">
        <f t="shared" si="6"/>
        <v>7.4233538712790434E-3</v>
      </c>
      <c r="M241">
        <f t="shared" si="7"/>
        <v>7.4233538712790432</v>
      </c>
    </row>
    <row r="242" spans="1:13" ht="14.25" customHeight="1" x14ac:dyDescent="0.25">
      <c r="A242" s="1">
        <v>2</v>
      </c>
      <c r="B242" s="1" t="s">
        <v>9</v>
      </c>
      <c r="C242" s="2" t="s">
        <v>49</v>
      </c>
      <c r="D242" s="5">
        <v>45534</v>
      </c>
      <c r="E242" s="6">
        <v>0.47430555555555554</v>
      </c>
      <c r="F242" s="1">
        <v>134.71</v>
      </c>
      <c r="G242" s="1">
        <v>7700</v>
      </c>
      <c r="H242" s="1">
        <v>57.16</v>
      </c>
      <c r="I242" s="1" t="s">
        <v>45</v>
      </c>
      <c r="J242" s="1" t="s">
        <v>32</v>
      </c>
      <c r="K242" s="1">
        <v>1</v>
      </c>
      <c r="L242">
        <f t="shared" si="6"/>
        <v>7.4233538712790434E-3</v>
      </c>
      <c r="M242">
        <f t="shared" si="7"/>
        <v>7.4233538712790432</v>
      </c>
    </row>
    <row r="243" spans="1:13" ht="14.25" customHeight="1" x14ac:dyDescent="0.25">
      <c r="A243" s="1">
        <v>2</v>
      </c>
      <c r="B243" s="1" t="s">
        <v>9</v>
      </c>
      <c r="C243" s="2" t="s">
        <v>49</v>
      </c>
      <c r="D243" s="5">
        <v>45534</v>
      </c>
      <c r="E243" s="6">
        <v>0.47430555555555554</v>
      </c>
      <c r="F243" s="1">
        <v>134.71</v>
      </c>
      <c r="G243" s="1">
        <v>7700</v>
      </c>
      <c r="H243" s="1">
        <v>57.16</v>
      </c>
      <c r="I243" s="1" t="s">
        <v>14</v>
      </c>
      <c r="K243" s="1">
        <v>7</v>
      </c>
      <c r="L243">
        <f t="shared" si="6"/>
        <v>5.1963477098953305E-2</v>
      </c>
      <c r="M243">
        <f t="shared" si="7"/>
        <v>51.963477098953305</v>
      </c>
    </row>
    <row r="244" spans="1:13" ht="14.25" customHeight="1" x14ac:dyDescent="0.25">
      <c r="A244" s="1">
        <v>2</v>
      </c>
      <c r="B244" s="1" t="s">
        <v>9</v>
      </c>
      <c r="C244" s="2" t="s">
        <v>49</v>
      </c>
      <c r="D244" s="5">
        <v>45534</v>
      </c>
      <c r="E244" s="6">
        <v>0.47430555555555554</v>
      </c>
      <c r="F244" s="1">
        <v>134.71</v>
      </c>
      <c r="G244" s="1">
        <v>7700</v>
      </c>
      <c r="H244" s="1">
        <v>57.16</v>
      </c>
      <c r="I244" s="1" t="s">
        <v>15</v>
      </c>
      <c r="J244" s="1" t="s">
        <v>30</v>
      </c>
      <c r="K244" s="1">
        <v>2</v>
      </c>
      <c r="L244">
        <f t="shared" si="6"/>
        <v>1.4846707742558087E-2</v>
      </c>
      <c r="M244">
        <f t="shared" si="7"/>
        <v>14.846707742558086</v>
      </c>
    </row>
    <row r="245" spans="1:13" ht="14.25" customHeight="1" x14ac:dyDescent="0.25">
      <c r="A245" s="1">
        <v>2</v>
      </c>
      <c r="B245" s="1" t="s">
        <v>9</v>
      </c>
      <c r="C245" s="2" t="s">
        <v>49</v>
      </c>
      <c r="D245" s="5">
        <v>45534</v>
      </c>
      <c r="E245" s="6">
        <v>0.47430555555555554</v>
      </c>
      <c r="F245" s="1">
        <v>134.71</v>
      </c>
      <c r="G245" s="1">
        <v>7700</v>
      </c>
      <c r="H245" s="1">
        <v>57.16</v>
      </c>
      <c r="I245" s="1" t="s">
        <v>20</v>
      </c>
      <c r="K245" s="1">
        <v>1</v>
      </c>
      <c r="L245">
        <f t="shared" si="6"/>
        <v>7.4233538712790434E-3</v>
      </c>
      <c r="M245">
        <f t="shared" si="7"/>
        <v>7.4233538712790432</v>
      </c>
    </row>
    <row r="246" spans="1:13" ht="14.25" customHeight="1" x14ac:dyDescent="0.25">
      <c r="A246" s="1">
        <v>3</v>
      </c>
      <c r="B246" s="1" t="s">
        <v>9</v>
      </c>
      <c r="C246" s="2" t="s">
        <v>49</v>
      </c>
      <c r="D246" s="5">
        <v>45534</v>
      </c>
      <c r="E246" s="6">
        <v>0.47430555555555554</v>
      </c>
      <c r="F246" s="1">
        <v>134.71</v>
      </c>
      <c r="G246" s="1">
        <v>6000</v>
      </c>
      <c r="H246" s="1">
        <v>44.54</v>
      </c>
      <c r="I246" s="1" t="s">
        <v>42</v>
      </c>
      <c r="J246" s="1" t="s">
        <v>12</v>
      </c>
      <c r="K246" s="1">
        <v>68</v>
      </c>
      <c r="L246">
        <f t="shared" si="6"/>
        <v>0.50478806324697501</v>
      </c>
      <c r="M246">
        <f t="shared" si="7"/>
        <v>504.78806324697501</v>
      </c>
    </row>
    <row r="247" spans="1:13" ht="14.25" customHeight="1" x14ac:dyDescent="0.25">
      <c r="A247" s="1">
        <v>3</v>
      </c>
      <c r="B247" s="1" t="s">
        <v>9</v>
      </c>
      <c r="C247" s="2" t="s">
        <v>49</v>
      </c>
      <c r="D247" s="5">
        <v>45534</v>
      </c>
      <c r="E247" s="6">
        <v>0.47430555555555554</v>
      </c>
      <c r="F247" s="1">
        <v>134.71</v>
      </c>
      <c r="G247" s="1">
        <v>6000</v>
      </c>
      <c r="H247" s="1">
        <v>44.54</v>
      </c>
      <c r="I247" s="1" t="s">
        <v>14</v>
      </c>
      <c r="K247" s="1">
        <v>13</v>
      </c>
      <c r="L247">
        <f t="shared" si="6"/>
        <v>9.6503600326627567E-2</v>
      </c>
      <c r="M247">
        <f t="shared" si="7"/>
        <v>96.503600326627563</v>
      </c>
    </row>
    <row r="248" spans="1:13" ht="14.25" customHeight="1" x14ac:dyDescent="0.25">
      <c r="A248" s="1">
        <v>3</v>
      </c>
      <c r="B248" s="1" t="s">
        <v>9</v>
      </c>
      <c r="C248" s="2" t="s">
        <v>49</v>
      </c>
      <c r="D248" s="5">
        <v>45534</v>
      </c>
      <c r="E248" s="6">
        <v>0.47430555555555554</v>
      </c>
      <c r="F248" s="1">
        <v>134.71</v>
      </c>
      <c r="G248" s="1">
        <v>6000</v>
      </c>
      <c r="H248" s="1">
        <v>44.54</v>
      </c>
      <c r="I248" s="1" t="s">
        <v>10</v>
      </c>
      <c r="J248" s="1" t="s">
        <v>11</v>
      </c>
      <c r="K248" s="1">
        <v>26</v>
      </c>
      <c r="L248">
        <f t="shared" si="6"/>
        <v>0.19300720065325513</v>
      </c>
      <c r="M248">
        <f t="shared" si="7"/>
        <v>193.00720065325513</v>
      </c>
    </row>
    <row r="249" spans="1:13" ht="14.25" customHeight="1" x14ac:dyDescent="0.25">
      <c r="A249" s="1">
        <v>3</v>
      </c>
      <c r="B249" s="1" t="s">
        <v>9</v>
      </c>
      <c r="C249" s="2" t="s">
        <v>49</v>
      </c>
      <c r="D249" s="5">
        <v>45534</v>
      </c>
      <c r="E249" s="6">
        <v>0.47430555555555554</v>
      </c>
      <c r="F249" s="1">
        <v>134.71</v>
      </c>
      <c r="G249" s="1">
        <v>6000</v>
      </c>
      <c r="H249" s="1">
        <v>44.54</v>
      </c>
      <c r="I249" s="1" t="s">
        <v>42</v>
      </c>
      <c r="J249" s="1" t="s">
        <v>29</v>
      </c>
      <c r="K249" s="1">
        <v>4</v>
      </c>
      <c r="L249">
        <f t="shared" si="6"/>
        <v>2.9693415485116174E-2</v>
      </c>
      <c r="M249">
        <f t="shared" si="7"/>
        <v>29.693415485116173</v>
      </c>
    </row>
    <row r="250" spans="1:13" ht="14.25" customHeight="1" x14ac:dyDescent="0.25">
      <c r="A250" s="1">
        <v>3</v>
      </c>
      <c r="B250" s="1" t="s">
        <v>9</v>
      </c>
      <c r="C250" s="2" t="s">
        <v>49</v>
      </c>
      <c r="D250" s="5">
        <v>45534</v>
      </c>
      <c r="E250" s="6">
        <v>0.47430555555555554</v>
      </c>
      <c r="F250" s="1">
        <v>134.71</v>
      </c>
      <c r="G250" s="1">
        <v>6000</v>
      </c>
      <c r="H250" s="1">
        <v>44.54</v>
      </c>
      <c r="I250" s="1" t="s">
        <v>18</v>
      </c>
      <c r="J250" s="1" t="s">
        <v>19</v>
      </c>
      <c r="K250" s="1">
        <v>3</v>
      </c>
      <c r="L250">
        <f t="shared" si="6"/>
        <v>2.2270061613837131E-2</v>
      </c>
      <c r="M250">
        <f t="shared" si="7"/>
        <v>22.270061613837132</v>
      </c>
    </row>
    <row r="251" spans="1:13" ht="14.25" customHeight="1" x14ac:dyDescent="0.25">
      <c r="A251" s="1">
        <v>3</v>
      </c>
      <c r="B251" s="1" t="s">
        <v>9</v>
      </c>
      <c r="C251" s="2" t="s">
        <v>49</v>
      </c>
      <c r="D251" s="5">
        <v>45534</v>
      </c>
      <c r="E251" s="6">
        <v>0.47430555555555554</v>
      </c>
      <c r="F251" s="1">
        <v>134.71</v>
      </c>
      <c r="G251" s="1">
        <v>6000</v>
      </c>
      <c r="H251" s="1">
        <v>44.54</v>
      </c>
      <c r="I251" s="1" t="s">
        <v>24</v>
      </c>
      <c r="J251" s="1" t="s">
        <v>34</v>
      </c>
      <c r="K251" s="1">
        <v>1</v>
      </c>
      <c r="L251">
        <f t="shared" si="6"/>
        <v>7.4233538712790434E-3</v>
      </c>
      <c r="M251">
        <f t="shared" si="7"/>
        <v>7.4233538712790432</v>
      </c>
    </row>
    <row r="252" spans="1:13" ht="14.25" customHeight="1" x14ac:dyDescent="0.25">
      <c r="A252" s="1">
        <v>3</v>
      </c>
      <c r="B252" s="1" t="s">
        <v>9</v>
      </c>
      <c r="C252" s="2" t="s">
        <v>49</v>
      </c>
      <c r="D252" s="5">
        <v>45534</v>
      </c>
      <c r="E252" s="6">
        <v>0.47430555555555554</v>
      </c>
      <c r="F252" s="1">
        <v>134.71</v>
      </c>
      <c r="G252" s="1">
        <v>6000</v>
      </c>
      <c r="H252" s="1">
        <v>44.54</v>
      </c>
      <c r="I252" s="1" t="s">
        <v>42</v>
      </c>
      <c r="J252" s="1" t="s">
        <v>17</v>
      </c>
      <c r="K252" s="1">
        <v>1</v>
      </c>
      <c r="L252">
        <f t="shared" si="6"/>
        <v>7.4233538712790434E-3</v>
      </c>
      <c r="M252">
        <f t="shared" si="7"/>
        <v>7.4233538712790432</v>
      </c>
    </row>
    <row r="253" spans="1:13" ht="14.25" customHeight="1" x14ac:dyDescent="0.25">
      <c r="A253" s="1">
        <v>3</v>
      </c>
      <c r="B253" s="1" t="s">
        <v>9</v>
      </c>
      <c r="C253" s="2" t="s">
        <v>49</v>
      </c>
      <c r="D253" s="5">
        <v>45534</v>
      </c>
      <c r="E253" s="6">
        <v>0.47430555555555554</v>
      </c>
      <c r="F253" s="1">
        <v>134.71</v>
      </c>
      <c r="G253" s="1">
        <v>6000</v>
      </c>
      <c r="H253" s="1">
        <v>44.54</v>
      </c>
      <c r="I253" s="1" t="s">
        <v>45</v>
      </c>
      <c r="J253" s="1" t="s">
        <v>32</v>
      </c>
      <c r="K253" s="1">
        <v>3</v>
      </c>
      <c r="L253">
        <f t="shared" si="6"/>
        <v>2.2270061613837131E-2</v>
      </c>
      <c r="M253">
        <f t="shared" si="7"/>
        <v>22.270061613837132</v>
      </c>
    </row>
    <row r="254" spans="1:13" ht="14.25" customHeight="1" x14ac:dyDescent="0.25">
      <c r="A254" s="1">
        <v>3</v>
      </c>
      <c r="B254" s="1" t="s">
        <v>9</v>
      </c>
      <c r="C254" s="2" t="s">
        <v>49</v>
      </c>
      <c r="D254" s="5">
        <v>45534</v>
      </c>
      <c r="E254" s="6">
        <v>0.47430555555555554</v>
      </c>
      <c r="F254" s="1">
        <v>134.71</v>
      </c>
      <c r="G254" s="1">
        <v>6000</v>
      </c>
      <c r="H254" s="1">
        <v>44.54</v>
      </c>
      <c r="I254" s="1" t="s">
        <v>10</v>
      </c>
      <c r="J254" s="1" t="s">
        <v>13</v>
      </c>
      <c r="K254" s="1">
        <v>1</v>
      </c>
      <c r="L254">
        <f t="shared" si="6"/>
        <v>7.4233538712790434E-3</v>
      </c>
      <c r="M254">
        <f t="shared" si="7"/>
        <v>7.4233538712790432</v>
      </c>
    </row>
    <row r="255" spans="1:13" ht="14.25" customHeight="1" x14ac:dyDescent="0.25">
      <c r="A255" s="1">
        <v>1</v>
      </c>
      <c r="B255" s="1" t="s">
        <v>9</v>
      </c>
      <c r="C255" s="1" t="s">
        <v>48</v>
      </c>
      <c r="D255" s="5">
        <v>45498</v>
      </c>
      <c r="E255" s="7">
        <v>0.48819444444444443</v>
      </c>
      <c r="F255" s="1">
        <v>132.02000000000001</v>
      </c>
      <c r="G255" s="1">
        <v>5625</v>
      </c>
      <c r="H255" s="1">
        <v>42.61</v>
      </c>
      <c r="I255" s="1" t="s">
        <v>20</v>
      </c>
      <c r="K255" s="1">
        <v>47</v>
      </c>
      <c r="L255">
        <f t="shared" si="6"/>
        <v>0.35600666565671862</v>
      </c>
      <c r="M255">
        <f t="shared" si="7"/>
        <v>356.00666565671861</v>
      </c>
    </row>
    <row r="256" spans="1:13" ht="14.25" customHeight="1" x14ac:dyDescent="0.25">
      <c r="A256" s="1">
        <v>1</v>
      </c>
      <c r="B256" s="1" t="s">
        <v>9</v>
      </c>
      <c r="C256" s="1" t="s">
        <v>48</v>
      </c>
      <c r="D256" s="5">
        <v>45498</v>
      </c>
      <c r="E256" s="7">
        <v>0.48819444444444443</v>
      </c>
      <c r="F256" s="1">
        <v>132.02000000000001</v>
      </c>
      <c r="G256" s="1">
        <v>5625</v>
      </c>
      <c r="H256" s="1">
        <v>42.61</v>
      </c>
      <c r="I256" s="1" t="s">
        <v>42</v>
      </c>
      <c r="J256" s="1" t="s">
        <v>12</v>
      </c>
      <c r="K256" s="1">
        <v>36</v>
      </c>
      <c r="L256">
        <f t="shared" si="6"/>
        <v>0.27268595667323131</v>
      </c>
      <c r="M256">
        <f t="shared" si="7"/>
        <v>272.68595667323132</v>
      </c>
    </row>
    <row r="257" spans="1:13" ht="14.25" customHeight="1" x14ac:dyDescent="0.25">
      <c r="A257" s="1">
        <v>1</v>
      </c>
      <c r="B257" s="1" t="s">
        <v>9</v>
      </c>
      <c r="C257" s="1" t="s">
        <v>48</v>
      </c>
      <c r="D257" s="5">
        <v>45498</v>
      </c>
      <c r="E257" s="7">
        <v>0.48819444444444443</v>
      </c>
      <c r="F257" s="1">
        <v>132.02000000000001</v>
      </c>
      <c r="G257" s="1">
        <v>5625</v>
      </c>
      <c r="H257" s="1">
        <v>42.61</v>
      </c>
      <c r="I257" s="1" t="s">
        <v>15</v>
      </c>
      <c r="K257" s="1">
        <v>21</v>
      </c>
      <c r="L257">
        <f t="shared" si="6"/>
        <v>0.15906680805938492</v>
      </c>
      <c r="M257">
        <f t="shared" si="7"/>
        <v>159.06680805938493</v>
      </c>
    </row>
    <row r="258" spans="1:13" ht="14.25" customHeight="1" x14ac:dyDescent="0.25">
      <c r="A258" s="1">
        <v>1</v>
      </c>
      <c r="B258" s="1" t="s">
        <v>9</v>
      </c>
      <c r="C258" s="1" t="s">
        <v>48</v>
      </c>
      <c r="D258" s="5">
        <v>45498</v>
      </c>
      <c r="E258" s="7">
        <v>0.48819444444444399</v>
      </c>
      <c r="F258" s="1">
        <v>132.02000000000001</v>
      </c>
      <c r="G258" s="1">
        <v>5625</v>
      </c>
      <c r="H258" s="1">
        <v>42.61</v>
      </c>
      <c r="I258" s="1" t="s">
        <v>10</v>
      </c>
      <c r="J258" s="1" t="s">
        <v>13</v>
      </c>
      <c r="K258" s="1">
        <v>3</v>
      </c>
      <c r="L258">
        <f t="shared" si="6"/>
        <v>2.2723829722769276E-2</v>
      </c>
      <c r="M258">
        <f t="shared" si="7"/>
        <v>22.723829722769278</v>
      </c>
    </row>
    <row r="259" spans="1:13" ht="14.25" customHeight="1" x14ac:dyDescent="0.25">
      <c r="A259" s="1">
        <v>1</v>
      </c>
      <c r="B259" s="1" t="s">
        <v>9</v>
      </c>
      <c r="C259" s="1" t="s">
        <v>48</v>
      </c>
      <c r="D259" s="5">
        <v>45498</v>
      </c>
      <c r="E259" s="7">
        <v>0.48819444444444399</v>
      </c>
      <c r="F259" s="1">
        <v>132.02000000000001</v>
      </c>
      <c r="G259" s="1">
        <v>5625</v>
      </c>
      <c r="H259" s="1">
        <v>42.61</v>
      </c>
      <c r="I259" s="1" t="s">
        <v>18</v>
      </c>
      <c r="K259" s="1">
        <v>7</v>
      </c>
      <c r="L259">
        <f t="shared" ref="L259:L322" si="8">(K259/F259)</f>
        <v>5.3022269353128308E-2</v>
      </c>
      <c r="M259">
        <f t="shared" si="7"/>
        <v>53.022269353128308</v>
      </c>
    </row>
    <row r="260" spans="1:13" ht="14.25" customHeight="1" x14ac:dyDescent="0.25">
      <c r="A260" s="1">
        <v>1</v>
      </c>
      <c r="B260" s="1" t="s">
        <v>9</v>
      </c>
      <c r="C260" s="1" t="s">
        <v>48</v>
      </c>
      <c r="D260" s="5">
        <v>45498</v>
      </c>
      <c r="E260" s="7">
        <v>0.48819444444444399</v>
      </c>
      <c r="F260" s="1">
        <v>132.02000000000001</v>
      </c>
      <c r="G260" s="1">
        <v>5625</v>
      </c>
      <c r="H260" s="1">
        <v>42.61</v>
      </c>
      <c r="I260" s="1" t="s">
        <v>46</v>
      </c>
      <c r="K260" s="1">
        <v>1</v>
      </c>
      <c r="L260">
        <f t="shared" si="8"/>
        <v>7.5746099075897589E-3</v>
      </c>
      <c r="M260">
        <f t="shared" si="7"/>
        <v>7.5746099075897586</v>
      </c>
    </row>
    <row r="261" spans="1:13" ht="14.25" customHeight="1" x14ac:dyDescent="0.25">
      <c r="A261" s="1">
        <v>1</v>
      </c>
      <c r="B261" s="1" t="s">
        <v>9</v>
      </c>
      <c r="C261" s="1" t="s">
        <v>48</v>
      </c>
      <c r="D261" s="5">
        <v>45498</v>
      </c>
      <c r="E261" s="7">
        <v>0.48819444444444399</v>
      </c>
      <c r="F261" s="1">
        <v>132.02000000000001</v>
      </c>
      <c r="G261" s="1">
        <v>5625</v>
      </c>
      <c r="H261" s="1">
        <v>42.61</v>
      </c>
      <c r="I261" s="1" t="s">
        <v>10</v>
      </c>
      <c r="J261" s="1" t="s">
        <v>11</v>
      </c>
      <c r="K261" s="1">
        <v>6</v>
      </c>
      <c r="L261">
        <f t="shared" si="8"/>
        <v>4.5447659445538552E-2</v>
      </c>
      <c r="M261">
        <f t="shared" ref="M261:M324" si="9">L261*1000</f>
        <v>45.447659445538555</v>
      </c>
    </row>
    <row r="262" spans="1:13" ht="14.25" customHeight="1" x14ac:dyDescent="0.25">
      <c r="A262" s="1">
        <v>1</v>
      </c>
      <c r="B262" s="1" t="s">
        <v>9</v>
      </c>
      <c r="C262" s="1" t="s">
        <v>48</v>
      </c>
      <c r="D262" s="5">
        <v>45498</v>
      </c>
      <c r="E262" s="7">
        <v>0.48819444444444399</v>
      </c>
      <c r="F262" s="1">
        <v>132.02000000000001</v>
      </c>
      <c r="G262" s="1">
        <v>5625</v>
      </c>
      <c r="H262" s="1">
        <v>42.61</v>
      </c>
      <c r="I262" s="1" t="s">
        <v>35</v>
      </c>
      <c r="K262" s="1">
        <v>1</v>
      </c>
      <c r="L262">
        <f t="shared" si="8"/>
        <v>7.5746099075897589E-3</v>
      </c>
      <c r="M262">
        <f t="shared" si="9"/>
        <v>7.5746099075897586</v>
      </c>
    </row>
    <row r="263" spans="1:13" ht="14.25" customHeight="1" x14ac:dyDescent="0.25">
      <c r="A263" s="1">
        <v>1</v>
      </c>
      <c r="B263" s="1" t="s">
        <v>9</v>
      </c>
      <c r="C263" s="1" t="s">
        <v>48</v>
      </c>
      <c r="D263" s="5">
        <v>45498</v>
      </c>
      <c r="E263" s="7">
        <v>0.48819444444444399</v>
      </c>
      <c r="F263" s="1">
        <v>132.02000000000001</v>
      </c>
      <c r="G263" s="1">
        <v>5625</v>
      </c>
      <c r="H263" s="1">
        <v>42.61</v>
      </c>
      <c r="I263" s="1" t="s">
        <v>31</v>
      </c>
      <c r="J263" s="1" t="s">
        <v>32</v>
      </c>
      <c r="K263" s="1">
        <v>1</v>
      </c>
      <c r="L263">
        <f t="shared" si="8"/>
        <v>7.5746099075897589E-3</v>
      </c>
      <c r="M263">
        <f t="shared" si="9"/>
        <v>7.5746099075897586</v>
      </c>
    </row>
    <row r="264" spans="1:13" ht="14.25" customHeight="1" x14ac:dyDescent="0.25">
      <c r="A264" s="1">
        <v>1</v>
      </c>
      <c r="B264" s="1" t="s">
        <v>9</v>
      </c>
      <c r="C264" s="1" t="s">
        <v>48</v>
      </c>
      <c r="D264" s="5">
        <v>45498</v>
      </c>
      <c r="E264" s="7">
        <v>0.48819444444444399</v>
      </c>
      <c r="F264" s="1">
        <v>132.02000000000001</v>
      </c>
      <c r="G264" s="1">
        <v>5625</v>
      </c>
      <c r="H264" s="1">
        <v>42.6099999999999</v>
      </c>
      <c r="I264" s="1" t="s">
        <v>42</v>
      </c>
      <c r="J264" s="1" t="s">
        <v>29</v>
      </c>
      <c r="K264" s="1">
        <v>1</v>
      </c>
      <c r="L264">
        <f t="shared" si="8"/>
        <v>7.5746099075897589E-3</v>
      </c>
      <c r="M264">
        <f t="shared" si="9"/>
        <v>7.5746099075897586</v>
      </c>
    </row>
    <row r="265" spans="1:13" ht="14.25" customHeight="1" x14ac:dyDescent="0.25">
      <c r="A265" s="1">
        <v>2</v>
      </c>
      <c r="B265" s="1" t="s">
        <v>9</v>
      </c>
      <c r="C265" s="1" t="s">
        <v>48</v>
      </c>
      <c r="D265" s="5">
        <v>45498</v>
      </c>
      <c r="E265" s="7">
        <v>0.48819444444444399</v>
      </c>
      <c r="F265" s="1">
        <v>132.02000000000001</v>
      </c>
      <c r="G265" s="1">
        <v>4400</v>
      </c>
      <c r="H265" s="1">
        <v>33.326999999999998</v>
      </c>
      <c r="I265" s="1" t="s">
        <v>42</v>
      </c>
      <c r="J265" s="1" t="s">
        <v>12</v>
      </c>
      <c r="K265" s="1">
        <v>12</v>
      </c>
      <c r="L265">
        <f t="shared" si="8"/>
        <v>9.0895318891077104E-2</v>
      </c>
      <c r="M265">
        <f t="shared" si="9"/>
        <v>90.89531889107711</v>
      </c>
    </row>
    <row r="266" spans="1:13" ht="14.25" customHeight="1" x14ac:dyDescent="0.25">
      <c r="A266" s="1">
        <v>2</v>
      </c>
      <c r="B266" s="1" t="s">
        <v>9</v>
      </c>
      <c r="C266" s="1" t="s">
        <v>48</v>
      </c>
      <c r="D266" s="5">
        <v>45498</v>
      </c>
      <c r="E266" s="7">
        <v>0.48819444444444399</v>
      </c>
      <c r="F266" s="1">
        <v>132.02000000000001</v>
      </c>
      <c r="G266" s="1">
        <v>4400</v>
      </c>
      <c r="H266" s="1">
        <v>33.326999999999998</v>
      </c>
      <c r="I266" s="1" t="s">
        <v>15</v>
      </c>
      <c r="K266" s="1">
        <v>5</v>
      </c>
      <c r="L266">
        <f t="shared" si="8"/>
        <v>3.7873049537948796E-2</v>
      </c>
      <c r="M266">
        <f t="shared" si="9"/>
        <v>37.873049537948795</v>
      </c>
    </row>
    <row r="267" spans="1:13" ht="14.25" customHeight="1" x14ac:dyDescent="0.25">
      <c r="A267" s="1">
        <v>2</v>
      </c>
      <c r="B267" s="1" t="s">
        <v>9</v>
      </c>
      <c r="C267" s="1" t="s">
        <v>48</v>
      </c>
      <c r="D267" s="5">
        <v>45498</v>
      </c>
      <c r="E267" s="7">
        <v>0.48819444444444399</v>
      </c>
      <c r="F267" s="1">
        <v>132.02000000000001</v>
      </c>
      <c r="G267" s="1">
        <v>4400</v>
      </c>
      <c r="H267" s="1">
        <v>33.326999999999998</v>
      </c>
      <c r="I267" s="1" t="s">
        <v>20</v>
      </c>
      <c r="K267" s="1">
        <v>28</v>
      </c>
      <c r="L267">
        <f t="shared" si="8"/>
        <v>0.21208907741251323</v>
      </c>
      <c r="M267">
        <f t="shared" si="9"/>
        <v>212.08907741251323</v>
      </c>
    </row>
    <row r="268" spans="1:13" ht="14.25" customHeight="1" x14ac:dyDescent="0.25">
      <c r="A268" s="1">
        <v>2</v>
      </c>
      <c r="B268" s="1" t="s">
        <v>9</v>
      </c>
      <c r="C268" s="1" t="s">
        <v>48</v>
      </c>
      <c r="D268" s="5">
        <v>45498</v>
      </c>
      <c r="E268" s="7">
        <v>0.48819444444444399</v>
      </c>
      <c r="F268" s="1">
        <v>132.02000000000001</v>
      </c>
      <c r="G268" s="1">
        <v>4400</v>
      </c>
      <c r="H268" s="1">
        <v>33.326999999999998</v>
      </c>
      <c r="I268" s="1" t="s">
        <v>10</v>
      </c>
      <c r="J268" s="1" t="s">
        <v>11</v>
      </c>
      <c r="K268" s="1">
        <v>4</v>
      </c>
      <c r="L268">
        <f t="shared" si="8"/>
        <v>3.0298439630359036E-2</v>
      </c>
      <c r="M268">
        <f t="shared" si="9"/>
        <v>30.298439630359034</v>
      </c>
    </row>
    <row r="269" spans="1:13" ht="14.25" customHeight="1" x14ac:dyDescent="0.25">
      <c r="A269" s="1">
        <v>2</v>
      </c>
      <c r="B269" s="1" t="s">
        <v>9</v>
      </c>
      <c r="C269" s="1" t="s">
        <v>48</v>
      </c>
      <c r="D269" s="5">
        <v>45498</v>
      </c>
      <c r="E269" s="7">
        <v>0.48819444444444399</v>
      </c>
      <c r="F269" s="1">
        <v>132.02000000000001</v>
      </c>
      <c r="G269" s="1">
        <v>4400</v>
      </c>
      <c r="H269" s="1">
        <v>33.326999999999998</v>
      </c>
      <c r="I269" s="1" t="s">
        <v>42</v>
      </c>
      <c r="J269" s="1" t="s">
        <v>29</v>
      </c>
      <c r="K269" s="1">
        <v>1</v>
      </c>
      <c r="L269">
        <f t="shared" si="8"/>
        <v>7.5746099075897589E-3</v>
      </c>
      <c r="M269">
        <f t="shared" si="9"/>
        <v>7.5746099075897586</v>
      </c>
    </row>
    <row r="270" spans="1:13" ht="14.25" customHeight="1" x14ac:dyDescent="0.25">
      <c r="A270" s="1">
        <v>2</v>
      </c>
      <c r="B270" s="1" t="s">
        <v>9</v>
      </c>
      <c r="C270" s="1" t="s">
        <v>48</v>
      </c>
      <c r="D270" s="5">
        <v>45498</v>
      </c>
      <c r="E270" s="7">
        <v>0.48819444444444399</v>
      </c>
      <c r="F270" s="1">
        <v>132.02000000000001</v>
      </c>
      <c r="G270" s="1">
        <v>4400</v>
      </c>
      <c r="H270" s="1">
        <v>33.326999999999998</v>
      </c>
      <c r="I270" s="1" t="s">
        <v>35</v>
      </c>
      <c r="K270" s="1">
        <v>3</v>
      </c>
      <c r="L270">
        <f t="shared" si="8"/>
        <v>2.2723829722769276E-2</v>
      </c>
      <c r="M270">
        <f t="shared" si="9"/>
        <v>22.723829722769278</v>
      </c>
    </row>
    <row r="271" spans="1:13" ht="14.25" customHeight="1" x14ac:dyDescent="0.25">
      <c r="A271" s="1">
        <v>2</v>
      </c>
      <c r="B271" s="1" t="s">
        <v>9</v>
      </c>
      <c r="C271" s="1" t="s">
        <v>48</v>
      </c>
      <c r="D271" s="5">
        <v>45498</v>
      </c>
      <c r="E271" s="7">
        <v>0.48819444444444399</v>
      </c>
      <c r="F271" s="1">
        <v>132.02000000000001</v>
      </c>
      <c r="G271" s="1">
        <v>4400</v>
      </c>
      <c r="H271" s="1">
        <v>33.326999999999998</v>
      </c>
      <c r="I271" s="1" t="s">
        <v>18</v>
      </c>
      <c r="K271" s="1">
        <v>1</v>
      </c>
      <c r="L271">
        <f t="shared" si="8"/>
        <v>7.5746099075897589E-3</v>
      </c>
      <c r="M271">
        <f t="shared" si="9"/>
        <v>7.5746099075897586</v>
      </c>
    </row>
    <row r="272" spans="1:13" ht="14.25" customHeight="1" x14ac:dyDescent="0.25">
      <c r="A272" s="1">
        <v>3</v>
      </c>
      <c r="B272" s="1" t="s">
        <v>9</v>
      </c>
      <c r="C272" s="1" t="s">
        <v>48</v>
      </c>
      <c r="D272" s="5">
        <v>45498</v>
      </c>
      <c r="E272" s="7">
        <v>0.48819444444444399</v>
      </c>
      <c r="F272" s="1">
        <v>132.02000000000001</v>
      </c>
      <c r="G272" s="1">
        <v>5400</v>
      </c>
      <c r="H272" s="1">
        <v>40.9</v>
      </c>
      <c r="I272" s="1" t="s">
        <v>10</v>
      </c>
      <c r="J272" s="1" t="s">
        <v>11</v>
      </c>
      <c r="K272" s="1">
        <v>2</v>
      </c>
      <c r="L272">
        <f t="shared" si="8"/>
        <v>1.5149219815179518E-2</v>
      </c>
      <c r="M272">
        <f t="shared" si="9"/>
        <v>15.149219815179517</v>
      </c>
    </row>
    <row r="273" spans="1:13" ht="14.25" customHeight="1" x14ac:dyDescent="0.25">
      <c r="A273" s="1">
        <v>3</v>
      </c>
      <c r="B273" s="1" t="s">
        <v>9</v>
      </c>
      <c r="C273" s="1" t="s">
        <v>48</v>
      </c>
      <c r="D273" s="5">
        <v>45498</v>
      </c>
      <c r="E273" s="7">
        <v>0.48819444444444399</v>
      </c>
      <c r="F273" s="1">
        <v>132.02000000000001</v>
      </c>
      <c r="G273" s="1">
        <v>5400</v>
      </c>
      <c r="H273" s="1">
        <v>40.9</v>
      </c>
      <c r="I273" s="1" t="s">
        <v>15</v>
      </c>
      <c r="K273" s="1">
        <v>11</v>
      </c>
      <c r="L273">
        <f t="shared" si="8"/>
        <v>8.332070898348734E-2</v>
      </c>
      <c r="M273">
        <f t="shared" si="9"/>
        <v>83.320708983487336</v>
      </c>
    </row>
    <row r="274" spans="1:13" ht="14.25" customHeight="1" x14ac:dyDescent="0.25">
      <c r="A274" s="1">
        <v>3</v>
      </c>
      <c r="B274" s="1" t="s">
        <v>9</v>
      </c>
      <c r="C274" s="1" t="s">
        <v>48</v>
      </c>
      <c r="D274" s="5">
        <v>45498</v>
      </c>
      <c r="E274" s="7">
        <v>0.48819444444444399</v>
      </c>
      <c r="F274" s="1">
        <v>132.02000000000001</v>
      </c>
      <c r="G274" s="1">
        <v>5400</v>
      </c>
      <c r="H274" s="1">
        <v>40.9</v>
      </c>
      <c r="I274" s="1" t="s">
        <v>20</v>
      </c>
      <c r="K274" s="1">
        <v>21</v>
      </c>
      <c r="L274">
        <f t="shared" si="8"/>
        <v>0.15906680805938492</v>
      </c>
      <c r="M274">
        <f t="shared" si="9"/>
        <v>159.06680805938493</v>
      </c>
    </row>
    <row r="275" spans="1:13" ht="14.25" customHeight="1" x14ac:dyDescent="0.25">
      <c r="A275" s="1">
        <v>3</v>
      </c>
      <c r="B275" s="1" t="s">
        <v>9</v>
      </c>
      <c r="C275" s="1" t="s">
        <v>48</v>
      </c>
      <c r="D275" s="5">
        <v>45498</v>
      </c>
      <c r="E275" s="7">
        <v>0.48819444444444399</v>
      </c>
      <c r="F275" s="1">
        <v>132.02000000000001</v>
      </c>
      <c r="G275" s="1">
        <v>5400</v>
      </c>
      <c r="H275" s="1">
        <v>40.9</v>
      </c>
      <c r="I275" s="1" t="s">
        <v>42</v>
      </c>
      <c r="J275" s="1" t="s">
        <v>29</v>
      </c>
      <c r="K275" s="1">
        <v>3</v>
      </c>
      <c r="L275">
        <f t="shared" si="8"/>
        <v>2.2723829722769276E-2</v>
      </c>
      <c r="M275">
        <f t="shared" si="9"/>
        <v>22.723829722769278</v>
      </c>
    </row>
    <row r="276" spans="1:13" ht="14.25" customHeight="1" x14ac:dyDescent="0.25">
      <c r="A276" s="1">
        <v>3</v>
      </c>
      <c r="B276" s="1" t="s">
        <v>9</v>
      </c>
      <c r="C276" s="1" t="s">
        <v>48</v>
      </c>
      <c r="D276" s="5">
        <v>45498</v>
      </c>
      <c r="E276" s="7">
        <v>0.48819444444444399</v>
      </c>
      <c r="F276" s="1">
        <v>132.02000000000001</v>
      </c>
      <c r="G276" s="1">
        <v>5400</v>
      </c>
      <c r="H276" s="1">
        <v>40.9</v>
      </c>
      <c r="I276" s="1" t="s">
        <v>42</v>
      </c>
      <c r="J276" s="1" t="s">
        <v>12</v>
      </c>
      <c r="K276" s="1">
        <v>20</v>
      </c>
      <c r="L276">
        <f t="shared" si="8"/>
        <v>0.15149219815179518</v>
      </c>
      <c r="M276">
        <f t="shared" si="9"/>
        <v>151.49219815179518</v>
      </c>
    </row>
    <row r="277" spans="1:13" ht="14.25" customHeight="1" x14ac:dyDescent="0.25">
      <c r="A277" s="1">
        <v>3</v>
      </c>
      <c r="B277" s="1" t="s">
        <v>9</v>
      </c>
      <c r="C277" s="1" t="s">
        <v>48</v>
      </c>
      <c r="D277" s="5">
        <v>45498</v>
      </c>
      <c r="E277" s="7">
        <v>0.48819444444444399</v>
      </c>
      <c r="F277" s="1">
        <v>132.02000000000001</v>
      </c>
      <c r="G277" s="1">
        <v>5400</v>
      </c>
      <c r="H277" s="1">
        <v>40.9</v>
      </c>
      <c r="I277" s="1" t="s">
        <v>18</v>
      </c>
      <c r="K277" s="1">
        <v>2</v>
      </c>
      <c r="L277">
        <f t="shared" si="8"/>
        <v>1.5149219815179518E-2</v>
      </c>
      <c r="M277">
        <f t="shared" si="9"/>
        <v>15.149219815179517</v>
      </c>
    </row>
    <row r="278" spans="1:13" ht="14.25" customHeight="1" x14ac:dyDescent="0.25">
      <c r="A278" s="1">
        <v>3</v>
      </c>
      <c r="B278" s="1" t="s">
        <v>9</v>
      </c>
      <c r="C278" s="1" t="s">
        <v>48</v>
      </c>
      <c r="D278" s="5">
        <v>45498</v>
      </c>
      <c r="E278" s="7">
        <v>0.48819444444444399</v>
      </c>
      <c r="F278" s="1">
        <v>132.02000000000001</v>
      </c>
      <c r="G278" s="1">
        <v>5400</v>
      </c>
      <c r="H278" s="1">
        <v>40.9</v>
      </c>
      <c r="I278" s="1" t="s">
        <v>42</v>
      </c>
      <c r="J278" s="1" t="s">
        <v>17</v>
      </c>
      <c r="K278" s="1">
        <v>1</v>
      </c>
      <c r="L278">
        <f t="shared" si="8"/>
        <v>7.5746099075897589E-3</v>
      </c>
      <c r="M278">
        <f t="shared" si="9"/>
        <v>7.5746099075897586</v>
      </c>
    </row>
    <row r="279" spans="1:13" ht="14.25" customHeight="1" x14ac:dyDescent="0.25">
      <c r="A279" s="1">
        <v>1</v>
      </c>
      <c r="B279" s="1" t="s">
        <v>9</v>
      </c>
      <c r="C279" s="1" t="s">
        <v>47</v>
      </c>
      <c r="D279" s="5">
        <v>45561</v>
      </c>
      <c r="E279" s="6">
        <v>0.55138888888888893</v>
      </c>
      <c r="F279" s="1">
        <v>130.81</v>
      </c>
      <c r="G279" s="1">
        <v>2160</v>
      </c>
      <c r="H279" s="1">
        <v>16.510000000000002</v>
      </c>
      <c r="I279" s="1" t="s">
        <v>10</v>
      </c>
      <c r="J279" s="1" t="s">
        <v>11</v>
      </c>
      <c r="K279" s="1">
        <v>14</v>
      </c>
      <c r="L279">
        <f t="shared" si="8"/>
        <v>0.10702545676936014</v>
      </c>
      <c r="M279">
        <f t="shared" si="9"/>
        <v>107.02545676936013</v>
      </c>
    </row>
    <row r="280" spans="1:13" ht="14.25" customHeight="1" x14ac:dyDescent="0.25">
      <c r="A280" s="1">
        <v>1</v>
      </c>
      <c r="B280" s="1" t="s">
        <v>9</v>
      </c>
      <c r="C280" s="1" t="s">
        <v>47</v>
      </c>
      <c r="D280" s="5">
        <v>45561</v>
      </c>
      <c r="E280" s="6">
        <v>0.55138888888888893</v>
      </c>
      <c r="F280" s="1">
        <v>130.81</v>
      </c>
      <c r="G280" s="1">
        <v>2160</v>
      </c>
      <c r="H280" s="1">
        <v>16.510000000000002</v>
      </c>
      <c r="I280" s="1" t="s">
        <v>15</v>
      </c>
      <c r="K280" s="1">
        <v>2</v>
      </c>
      <c r="L280">
        <f t="shared" si="8"/>
        <v>1.5289350967051448E-2</v>
      </c>
      <c r="M280">
        <f t="shared" si="9"/>
        <v>15.289350967051448</v>
      </c>
    </row>
    <row r="281" spans="1:13" ht="14.25" customHeight="1" x14ac:dyDescent="0.25">
      <c r="A281" s="1">
        <v>1</v>
      </c>
      <c r="B281" s="1" t="s">
        <v>9</v>
      </c>
      <c r="C281" s="1" t="s">
        <v>47</v>
      </c>
      <c r="D281" s="5">
        <v>45561</v>
      </c>
      <c r="E281" s="6">
        <v>0.55138888888888893</v>
      </c>
      <c r="F281" s="1">
        <v>130.81</v>
      </c>
      <c r="G281" s="1">
        <v>2160</v>
      </c>
      <c r="H281" s="1">
        <v>16.510000000000002</v>
      </c>
      <c r="I281" s="1" t="s">
        <v>42</v>
      </c>
      <c r="J281" s="1" t="s">
        <v>29</v>
      </c>
      <c r="K281" s="1">
        <v>3</v>
      </c>
      <c r="L281">
        <f t="shared" si="8"/>
        <v>2.2934026450577173E-2</v>
      </c>
      <c r="M281">
        <f t="shared" si="9"/>
        <v>22.934026450577171</v>
      </c>
    </row>
    <row r="282" spans="1:13" ht="14.25" customHeight="1" x14ac:dyDescent="0.25">
      <c r="A282" s="1">
        <v>1</v>
      </c>
      <c r="B282" s="1" t="s">
        <v>9</v>
      </c>
      <c r="C282" s="1" t="s">
        <v>47</v>
      </c>
      <c r="D282" s="5">
        <v>45561</v>
      </c>
      <c r="E282" s="6">
        <v>0.55138888888888893</v>
      </c>
      <c r="F282" s="1">
        <v>130.81</v>
      </c>
      <c r="G282" s="1">
        <v>2160</v>
      </c>
      <c r="H282" s="1">
        <v>16.510000000000002</v>
      </c>
      <c r="I282" s="1" t="s">
        <v>18</v>
      </c>
      <c r="J282" s="1" t="s">
        <v>19</v>
      </c>
      <c r="K282" s="1">
        <v>4</v>
      </c>
      <c r="L282">
        <f t="shared" si="8"/>
        <v>3.0578701934102896E-2</v>
      </c>
      <c r="M282">
        <f t="shared" si="9"/>
        <v>30.578701934102895</v>
      </c>
    </row>
    <row r="283" spans="1:13" ht="14.25" customHeight="1" x14ac:dyDescent="0.25">
      <c r="A283" s="1">
        <v>1</v>
      </c>
      <c r="B283" s="1" t="s">
        <v>9</v>
      </c>
      <c r="C283" s="1" t="s">
        <v>47</v>
      </c>
      <c r="D283" s="5">
        <v>45561</v>
      </c>
      <c r="E283" s="6">
        <v>0.55138888888888893</v>
      </c>
      <c r="F283" s="1">
        <v>130.81</v>
      </c>
      <c r="G283" s="1">
        <v>2160</v>
      </c>
      <c r="H283" s="1">
        <v>16.510000000000002</v>
      </c>
      <c r="I283" s="1" t="s">
        <v>42</v>
      </c>
      <c r="J283" s="1" t="s">
        <v>12</v>
      </c>
      <c r="K283" s="1">
        <v>3</v>
      </c>
      <c r="L283">
        <f t="shared" si="8"/>
        <v>2.2934026450577173E-2</v>
      </c>
      <c r="M283">
        <f t="shared" si="9"/>
        <v>22.934026450577171</v>
      </c>
    </row>
    <row r="284" spans="1:13" ht="14.25" customHeight="1" x14ac:dyDescent="0.25">
      <c r="A284" s="1">
        <v>1</v>
      </c>
      <c r="B284" s="1" t="s">
        <v>9</v>
      </c>
      <c r="C284" s="1" t="s">
        <v>47</v>
      </c>
      <c r="D284" s="5">
        <v>45561</v>
      </c>
      <c r="E284" s="6">
        <v>0.55138888888888893</v>
      </c>
      <c r="F284" s="1">
        <v>130.81</v>
      </c>
      <c r="G284" s="1">
        <v>2160</v>
      </c>
      <c r="H284" s="1">
        <v>16.510000000000002</v>
      </c>
      <c r="I284" s="1" t="s">
        <v>20</v>
      </c>
      <c r="K284" s="1">
        <v>1</v>
      </c>
      <c r="L284">
        <f t="shared" si="8"/>
        <v>7.6446754835257239E-3</v>
      </c>
      <c r="M284">
        <f t="shared" si="9"/>
        <v>7.6446754835257238</v>
      </c>
    </row>
    <row r="285" spans="1:13" ht="14.25" customHeight="1" x14ac:dyDescent="0.25">
      <c r="A285" s="1">
        <v>2</v>
      </c>
      <c r="B285" s="1" t="s">
        <v>9</v>
      </c>
      <c r="C285" s="1" t="s">
        <v>47</v>
      </c>
      <c r="D285" s="5">
        <v>45561</v>
      </c>
      <c r="E285" s="6">
        <v>0.55138888888888893</v>
      </c>
      <c r="F285" s="1">
        <v>130.81</v>
      </c>
      <c r="G285" s="1">
        <v>1600</v>
      </c>
      <c r="H285" s="1">
        <v>12.23</v>
      </c>
      <c r="I285" s="1" t="s">
        <v>10</v>
      </c>
      <c r="J285" s="1" t="s">
        <v>11</v>
      </c>
      <c r="K285" s="1">
        <v>5</v>
      </c>
      <c r="L285">
        <f t="shared" si="8"/>
        <v>3.8223377417628622E-2</v>
      </c>
      <c r="M285">
        <f t="shared" si="9"/>
        <v>38.223377417628619</v>
      </c>
    </row>
    <row r="286" spans="1:13" ht="14.25" customHeight="1" x14ac:dyDescent="0.25">
      <c r="A286" s="1">
        <v>2</v>
      </c>
      <c r="B286" s="1" t="s">
        <v>9</v>
      </c>
      <c r="C286" s="1" t="s">
        <v>47</v>
      </c>
      <c r="D286" s="5">
        <v>45561</v>
      </c>
      <c r="E286" s="6">
        <v>0.55138888888888893</v>
      </c>
      <c r="F286" s="1">
        <v>130.81</v>
      </c>
      <c r="G286" s="1">
        <v>1600</v>
      </c>
      <c r="H286" s="1">
        <v>12.23</v>
      </c>
      <c r="I286" s="1" t="s">
        <v>42</v>
      </c>
      <c r="J286" s="1" t="s">
        <v>12</v>
      </c>
      <c r="K286" s="1">
        <v>3</v>
      </c>
      <c r="L286">
        <f t="shared" si="8"/>
        <v>2.2934026450577173E-2</v>
      </c>
      <c r="M286">
        <f t="shared" si="9"/>
        <v>22.934026450577171</v>
      </c>
    </row>
    <row r="287" spans="1:13" ht="14.25" customHeight="1" x14ac:dyDescent="0.25">
      <c r="A287" s="1">
        <v>2</v>
      </c>
      <c r="B287" s="1" t="s">
        <v>9</v>
      </c>
      <c r="C287" s="1" t="s">
        <v>47</v>
      </c>
      <c r="D287" s="5">
        <v>45561</v>
      </c>
      <c r="E287" s="6">
        <v>0.55138888888888893</v>
      </c>
      <c r="F287" s="1">
        <v>130.81</v>
      </c>
      <c r="G287" s="1">
        <v>1600</v>
      </c>
      <c r="H287" s="1">
        <v>12.23</v>
      </c>
      <c r="I287" s="1" t="s">
        <v>15</v>
      </c>
      <c r="J287" s="1" t="s">
        <v>30</v>
      </c>
      <c r="K287" s="1">
        <v>1</v>
      </c>
      <c r="L287">
        <f t="shared" si="8"/>
        <v>7.6446754835257239E-3</v>
      </c>
      <c r="M287">
        <f t="shared" si="9"/>
        <v>7.6446754835257238</v>
      </c>
    </row>
    <row r="288" spans="1:13" ht="14.25" customHeight="1" x14ac:dyDescent="0.25">
      <c r="A288" s="1">
        <v>2</v>
      </c>
      <c r="B288" s="1" t="s">
        <v>9</v>
      </c>
      <c r="C288" s="1" t="s">
        <v>47</v>
      </c>
      <c r="D288" s="5">
        <v>45561</v>
      </c>
      <c r="E288" s="6">
        <v>0.55138888888888893</v>
      </c>
      <c r="F288" s="1">
        <v>130.81</v>
      </c>
      <c r="G288" s="1">
        <v>1600</v>
      </c>
      <c r="H288" s="1">
        <v>12.23</v>
      </c>
      <c r="I288" s="1" t="s">
        <v>15</v>
      </c>
      <c r="K288" s="1">
        <v>6</v>
      </c>
      <c r="L288">
        <f t="shared" si="8"/>
        <v>4.5868052901154345E-2</v>
      </c>
      <c r="M288">
        <f t="shared" si="9"/>
        <v>45.868052901154343</v>
      </c>
    </row>
    <row r="289" spans="1:13" ht="14.25" customHeight="1" x14ac:dyDescent="0.25">
      <c r="A289" s="1">
        <v>2</v>
      </c>
      <c r="B289" s="1" t="s">
        <v>9</v>
      </c>
      <c r="C289" s="1" t="s">
        <v>47</v>
      </c>
      <c r="D289" s="5">
        <v>45561</v>
      </c>
      <c r="E289" s="6">
        <v>0.55138888888888893</v>
      </c>
      <c r="F289" s="1">
        <v>130.81</v>
      </c>
      <c r="G289" s="1">
        <v>1600</v>
      </c>
      <c r="H289" s="1">
        <v>12.23</v>
      </c>
      <c r="I289" s="1" t="s">
        <v>10</v>
      </c>
      <c r="J289" s="1" t="s">
        <v>13</v>
      </c>
      <c r="K289" s="1">
        <v>2</v>
      </c>
      <c r="L289">
        <f t="shared" si="8"/>
        <v>1.5289350967051448E-2</v>
      </c>
      <c r="M289">
        <f t="shared" si="9"/>
        <v>15.289350967051448</v>
      </c>
    </row>
    <row r="290" spans="1:13" ht="14.25" customHeight="1" x14ac:dyDescent="0.25">
      <c r="A290" s="1">
        <v>2</v>
      </c>
      <c r="B290" s="1" t="s">
        <v>9</v>
      </c>
      <c r="C290" s="1" t="s">
        <v>47</v>
      </c>
      <c r="D290" s="5">
        <v>45561</v>
      </c>
      <c r="E290" s="6">
        <v>0.55138888888888893</v>
      </c>
      <c r="F290" s="1">
        <v>130.81</v>
      </c>
      <c r="G290" s="1">
        <v>1600</v>
      </c>
      <c r="H290" s="1">
        <v>12.23</v>
      </c>
      <c r="I290" s="1" t="s">
        <v>18</v>
      </c>
      <c r="J290" s="1" t="s">
        <v>19</v>
      </c>
      <c r="K290" s="1">
        <v>3</v>
      </c>
      <c r="L290">
        <f t="shared" si="8"/>
        <v>2.2934026450577173E-2</v>
      </c>
      <c r="M290">
        <f t="shared" si="9"/>
        <v>22.934026450577171</v>
      </c>
    </row>
    <row r="291" spans="1:13" ht="14.25" customHeight="1" x14ac:dyDescent="0.25">
      <c r="A291" s="1">
        <v>3</v>
      </c>
      <c r="B291" s="1" t="s">
        <v>9</v>
      </c>
      <c r="C291" s="1" t="s">
        <v>47</v>
      </c>
      <c r="D291" s="5">
        <v>45561</v>
      </c>
      <c r="E291" s="6">
        <v>0.55138888888888893</v>
      </c>
      <c r="F291" s="1">
        <v>130.81</v>
      </c>
      <c r="G291" s="1">
        <v>2000</v>
      </c>
      <c r="H291" s="1">
        <v>15.29</v>
      </c>
      <c r="I291" s="1" t="s">
        <v>10</v>
      </c>
      <c r="J291" s="1" t="s">
        <v>11</v>
      </c>
      <c r="K291" s="1">
        <v>11</v>
      </c>
      <c r="L291">
        <f t="shared" si="8"/>
        <v>8.4091430318782967E-2</v>
      </c>
      <c r="M291">
        <f t="shared" si="9"/>
        <v>84.091430318782969</v>
      </c>
    </row>
    <row r="292" spans="1:13" ht="14.25" customHeight="1" x14ac:dyDescent="0.25">
      <c r="A292" s="1">
        <v>3</v>
      </c>
      <c r="B292" s="1" t="s">
        <v>9</v>
      </c>
      <c r="C292" s="1" t="s">
        <v>47</v>
      </c>
      <c r="D292" s="5">
        <v>45561</v>
      </c>
      <c r="E292" s="6">
        <v>0.55138888888888893</v>
      </c>
      <c r="F292" s="1">
        <v>130.81</v>
      </c>
      <c r="G292" s="1">
        <v>2000</v>
      </c>
      <c r="H292" s="1">
        <v>15.29</v>
      </c>
      <c r="I292" s="1" t="s">
        <v>14</v>
      </c>
      <c r="K292" s="1">
        <v>1</v>
      </c>
      <c r="L292">
        <f t="shared" si="8"/>
        <v>7.6446754835257239E-3</v>
      </c>
      <c r="M292">
        <f t="shared" si="9"/>
        <v>7.6446754835257238</v>
      </c>
    </row>
    <row r="293" spans="1:13" ht="14.25" customHeight="1" x14ac:dyDescent="0.25">
      <c r="A293" s="1">
        <v>3</v>
      </c>
      <c r="B293" s="1" t="s">
        <v>9</v>
      </c>
      <c r="C293" s="1" t="s">
        <v>47</v>
      </c>
      <c r="D293" s="5">
        <v>45561</v>
      </c>
      <c r="E293" s="6">
        <v>0.55138888888888893</v>
      </c>
      <c r="F293" s="1">
        <v>130.81</v>
      </c>
      <c r="G293" s="1">
        <v>2000</v>
      </c>
      <c r="H293" s="1">
        <v>15.29</v>
      </c>
      <c r="I293" s="1" t="s">
        <v>10</v>
      </c>
      <c r="J293" s="1" t="s">
        <v>13</v>
      </c>
      <c r="K293" s="1">
        <v>1</v>
      </c>
      <c r="L293">
        <f t="shared" si="8"/>
        <v>7.6446754835257239E-3</v>
      </c>
      <c r="M293">
        <f t="shared" si="9"/>
        <v>7.6446754835257238</v>
      </c>
    </row>
    <row r="294" spans="1:13" ht="14.25" customHeight="1" x14ac:dyDescent="0.25">
      <c r="A294" s="1">
        <v>3</v>
      </c>
      <c r="B294" s="1" t="s">
        <v>9</v>
      </c>
      <c r="C294" s="1" t="s">
        <v>47</v>
      </c>
      <c r="D294" s="5">
        <v>45561</v>
      </c>
      <c r="E294" s="6">
        <v>0.55138888888888893</v>
      </c>
      <c r="F294" s="1">
        <v>130.81</v>
      </c>
      <c r="G294" s="1">
        <v>2000</v>
      </c>
      <c r="H294" s="1">
        <v>15.29</v>
      </c>
      <c r="I294" s="1" t="s">
        <v>15</v>
      </c>
      <c r="K294" s="1">
        <v>3</v>
      </c>
      <c r="L294">
        <f t="shared" si="8"/>
        <v>2.2934026450577173E-2</v>
      </c>
      <c r="M294">
        <f t="shared" si="9"/>
        <v>22.934026450577171</v>
      </c>
    </row>
    <row r="295" spans="1:13" ht="14.25" customHeight="1" x14ac:dyDescent="0.25">
      <c r="A295" s="1">
        <v>3</v>
      </c>
      <c r="B295" s="1" t="s">
        <v>9</v>
      </c>
      <c r="C295" s="1" t="s">
        <v>47</v>
      </c>
      <c r="D295" s="5">
        <v>45561</v>
      </c>
      <c r="E295" s="6">
        <v>0.55138888888888893</v>
      </c>
      <c r="F295" s="1">
        <v>130.81</v>
      </c>
      <c r="G295" s="1">
        <v>2000</v>
      </c>
      <c r="H295" s="1">
        <v>15.29</v>
      </c>
      <c r="I295" s="1" t="s">
        <v>18</v>
      </c>
      <c r="J295" s="1" t="s">
        <v>19</v>
      </c>
      <c r="K295" s="1">
        <v>2</v>
      </c>
      <c r="L295">
        <f t="shared" si="8"/>
        <v>1.5289350967051448E-2</v>
      </c>
      <c r="M295">
        <f t="shared" si="9"/>
        <v>15.289350967051448</v>
      </c>
    </row>
    <row r="296" spans="1:13" ht="14.25" customHeight="1" x14ac:dyDescent="0.25">
      <c r="A296" s="1">
        <v>3</v>
      </c>
      <c r="B296" s="1" t="s">
        <v>9</v>
      </c>
      <c r="C296" s="1" t="s">
        <v>47</v>
      </c>
      <c r="D296" s="5">
        <v>45561</v>
      </c>
      <c r="E296" s="6">
        <v>0.55138888888888893</v>
      </c>
      <c r="F296" s="1">
        <v>130.81</v>
      </c>
      <c r="G296" s="1">
        <v>2000</v>
      </c>
      <c r="H296" s="1">
        <v>15.29</v>
      </c>
      <c r="I296" s="1" t="s">
        <v>42</v>
      </c>
      <c r="J296" s="1" t="s">
        <v>12</v>
      </c>
      <c r="K296" s="1">
        <v>4</v>
      </c>
      <c r="L296">
        <f t="shared" si="8"/>
        <v>3.0578701934102896E-2</v>
      </c>
      <c r="M296">
        <f t="shared" si="9"/>
        <v>30.578701934102895</v>
      </c>
    </row>
    <row r="297" spans="1:13" ht="14.25" customHeight="1" x14ac:dyDescent="0.25">
      <c r="A297" s="1">
        <v>3</v>
      </c>
      <c r="B297" s="1" t="s">
        <v>9</v>
      </c>
      <c r="C297" s="1" t="s">
        <v>47</v>
      </c>
      <c r="D297" s="5">
        <v>45561</v>
      </c>
      <c r="E297" s="6">
        <v>0.55138888888888893</v>
      </c>
      <c r="F297" s="1">
        <v>130.81</v>
      </c>
      <c r="G297" s="1">
        <v>2000</v>
      </c>
      <c r="H297" s="1">
        <v>15.29</v>
      </c>
      <c r="I297" s="1" t="s">
        <v>42</v>
      </c>
      <c r="J297" s="1" t="s">
        <v>17</v>
      </c>
      <c r="K297" s="1">
        <v>1</v>
      </c>
      <c r="L297">
        <f t="shared" si="8"/>
        <v>7.6446754835257239E-3</v>
      </c>
      <c r="M297">
        <f t="shared" si="9"/>
        <v>7.6446754835257238</v>
      </c>
    </row>
    <row r="298" spans="1:13" ht="14.25" customHeight="1" x14ac:dyDescent="0.25">
      <c r="A298" s="1">
        <v>3</v>
      </c>
      <c r="B298" s="1" t="s">
        <v>9</v>
      </c>
      <c r="C298" s="1" t="s">
        <v>47</v>
      </c>
      <c r="D298" s="5">
        <v>45561</v>
      </c>
      <c r="E298" s="6">
        <v>0.55138888888888893</v>
      </c>
      <c r="F298" s="1">
        <v>130.81</v>
      </c>
      <c r="G298" s="1">
        <v>2000</v>
      </c>
      <c r="H298" s="1">
        <v>15.29</v>
      </c>
      <c r="I298" s="1" t="s">
        <v>46</v>
      </c>
      <c r="K298" s="1">
        <v>1</v>
      </c>
      <c r="L298">
        <f t="shared" si="8"/>
        <v>7.6446754835257239E-3</v>
      </c>
      <c r="M298">
        <f t="shared" si="9"/>
        <v>7.6446754835257238</v>
      </c>
    </row>
    <row r="299" spans="1:13" ht="14.25" customHeight="1" x14ac:dyDescent="0.25">
      <c r="A299" s="1">
        <v>3</v>
      </c>
      <c r="B299" s="1" t="s">
        <v>9</v>
      </c>
      <c r="C299" s="1" t="s">
        <v>47</v>
      </c>
      <c r="D299" s="5">
        <v>45561</v>
      </c>
      <c r="E299" s="6">
        <v>0.55138888888888893</v>
      </c>
      <c r="F299" s="1">
        <v>130.81</v>
      </c>
      <c r="G299" s="1">
        <v>2000</v>
      </c>
      <c r="H299" s="1">
        <v>15.29</v>
      </c>
      <c r="I299" s="1" t="s">
        <v>20</v>
      </c>
      <c r="K299" s="1">
        <v>1</v>
      </c>
      <c r="L299">
        <f t="shared" si="8"/>
        <v>7.6446754835257239E-3</v>
      </c>
      <c r="M299">
        <f t="shared" si="9"/>
        <v>7.6446754835257238</v>
      </c>
    </row>
    <row r="300" spans="1:13" ht="14.25" customHeight="1" x14ac:dyDescent="0.25">
      <c r="A300" s="1">
        <v>1</v>
      </c>
      <c r="B300" s="1" t="s">
        <v>9</v>
      </c>
      <c r="C300" s="1" t="s">
        <v>47</v>
      </c>
      <c r="D300" s="5">
        <v>45534</v>
      </c>
      <c r="E300" s="6">
        <v>0.54097222222222219</v>
      </c>
      <c r="F300" s="1">
        <v>137.22</v>
      </c>
      <c r="G300" s="1">
        <v>3900</v>
      </c>
      <c r="H300" s="1">
        <v>28.42</v>
      </c>
      <c r="I300" s="1" t="s">
        <v>45</v>
      </c>
      <c r="J300" s="1" t="s">
        <v>32</v>
      </c>
      <c r="K300" s="1">
        <v>22</v>
      </c>
      <c r="L300">
        <f t="shared" si="8"/>
        <v>0.16032648301996794</v>
      </c>
      <c r="M300">
        <f t="shared" si="9"/>
        <v>160.32648301996792</v>
      </c>
    </row>
    <row r="301" spans="1:13" ht="14.25" customHeight="1" x14ac:dyDescent="0.25">
      <c r="A301" s="1">
        <v>1</v>
      </c>
      <c r="B301" s="1" t="s">
        <v>9</v>
      </c>
      <c r="C301" s="1" t="s">
        <v>47</v>
      </c>
      <c r="D301" s="5">
        <v>45534</v>
      </c>
      <c r="E301" s="6">
        <v>0.54097222222222219</v>
      </c>
      <c r="F301" s="1">
        <v>137.22</v>
      </c>
      <c r="G301" s="1">
        <v>3900</v>
      </c>
      <c r="H301" s="1">
        <v>28.42</v>
      </c>
      <c r="I301" s="1" t="s">
        <v>42</v>
      </c>
      <c r="J301" s="1" t="s">
        <v>12</v>
      </c>
      <c r="K301" s="1">
        <v>49</v>
      </c>
      <c r="L301">
        <f t="shared" si="8"/>
        <v>0.35709080308992858</v>
      </c>
      <c r="M301">
        <f t="shared" si="9"/>
        <v>357.09080308992856</v>
      </c>
    </row>
    <row r="302" spans="1:13" ht="14.25" customHeight="1" x14ac:dyDescent="0.25">
      <c r="A302" s="1">
        <v>1</v>
      </c>
      <c r="B302" s="1" t="s">
        <v>9</v>
      </c>
      <c r="C302" s="1" t="s">
        <v>47</v>
      </c>
      <c r="D302" s="5">
        <v>45534</v>
      </c>
      <c r="E302" s="6">
        <v>0.54097222222222219</v>
      </c>
      <c r="F302" s="1">
        <v>137.22</v>
      </c>
      <c r="G302" s="1">
        <v>3900</v>
      </c>
      <c r="H302" s="1">
        <v>28.42</v>
      </c>
      <c r="I302" s="1" t="s">
        <v>15</v>
      </c>
      <c r="K302" s="1">
        <v>2</v>
      </c>
      <c r="L302">
        <f t="shared" si="8"/>
        <v>1.4575134819997086E-2</v>
      </c>
      <c r="M302">
        <f t="shared" si="9"/>
        <v>14.575134819997086</v>
      </c>
    </row>
    <row r="303" spans="1:13" ht="14.25" customHeight="1" x14ac:dyDescent="0.25">
      <c r="A303" s="1">
        <v>1</v>
      </c>
      <c r="B303" s="1" t="s">
        <v>9</v>
      </c>
      <c r="C303" s="1" t="s">
        <v>47</v>
      </c>
      <c r="D303" s="5">
        <v>45534</v>
      </c>
      <c r="E303" s="6">
        <v>0.54097222222222219</v>
      </c>
      <c r="F303" s="1">
        <v>137.22</v>
      </c>
      <c r="G303" s="1">
        <v>3900</v>
      </c>
      <c r="H303" s="1">
        <v>28.42</v>
      </c>
      <c r="I303" s="1" t="s">
        <v>42</v>
      </c>
      <c r="J303" s="1" t="s">
        <v>17</v>
      </c>
      <c r="K303" s="1">
        <v>1</v>
      </c>
      <c r="L303">
        <f t="shared" si="8"/>
        <v>7.2875674099985429E-3</v>
      </c>
      <c r="M303">
        <f t="shared" si="9"/>
        <v>7.2875674099985428</v>
      </c>
    </row>
    <row r="304" spans="1:13" ht="14.25" customHeight="1" x14ac:dyDescent="0.25">
      <c r="A304" s="1">
        <v>1</v>
      </c>
      <c r="B304" s="1" t="s">
        <v>9</v>
      </c>
      <c r="C304" s="1" t="s">
        <v>47</v>
      </c>
      <c r="D304" s="5">
        <v>45534</v>
      </c>
      <c r="E304" s="6">
        <v>0.54097222222222219</v>
      </c>
      <c r="F304" s="1">
        <v>137.22</v>
      </c>
      <c r="G304" s="1">
        <v>3900</v>
      </c>
      <c r="H304" s="1">
        <v>28.42</v>
      </c>
      <c r="I304" s="1" t="s">
        <v>10</v>
      </c>
      <c r="J304" s="1" t="s">
        <v>13</v>
      </c>
      <c r="K304" s="1">
        <v>1</v>
      </c>
      <c r="L304">
        <f t="shared" si="8"/>
        <v>7.2875674099985429E-3</v>
      </c>
      <c r="M304">
        <f t="shared" si="9"/>
        <v>7.2875674099985428</v>
      </c>
    </row>
    <row r="305" spans="1:13" ht="14.25" customHeight="1" x14ac:dyDescent="0.25">
      <c r="A305" s="1">
        <v>1</v>
      </c>
      <c r="B305" s="1" t="s">
        <v>9</v>
      </c>
      <c r="C305" s="1" t="s">
        <v>47</v>
      </c>
      <c r="D305" s="5">
        <v>45534</v>
      </c>
      <c r="E305" s="6">
        <v>0.54097222222222219</v>
      </c>
      <c r="F305" s="1">
        <v>137.22</v>
      </c>
      <c r="G305" s="1">
        <v>3900</v>
      </c>
      <c r="H305" s="1">
        <v>28.42</v>
      </c>
      <c r="I305" s="1" t="s">
        <v>18</v>
      </c>
      <c r="J305" s="1" t="s">
        <v>36</v>
      </c>
      <c r="K305" s="1">
        <v>2</v>
      </c>
      <c r="L305">
        <f t="shared" si="8"/>
        <v>1.4575134819997086E-2</v>
      </c>
      <c r="M305">
        <f t="shared" si="9"/>
        <v>14.575134819997086</v>
      </c>
    </row>
    <row r="306" spans="1:13" ht="14.25" customHeight="1" x14ac:dyDescent="0.25">
      <c r="A306" s="1">
        <v>1</v>
      </c>
      <c r="B306" s="1" t="s">
        <v>9</v>
      </c>
      <c r="C306" s="1" t="s">
        <v>47</v>
      </c>
      <c r="D306" s="5">
        <v>45534</v>
      </c>
      <c r="E306" s="6">
        <v>0.54097222222222219</v>
      </c>
      <c r="F306" s="1">
        <v>137.22</v>
      </c>
      <c r="G306" s="1">
        <v>3900</v>
      </c>
      <c r="H306" s="1">
        <v>28.42</v>
      </c>
      <c r="I306" s="1" t="s">
        <v>42</v>
      </c>
      <c r="J306" s="1" t="s">
        <v>29</v>
      </c>
      <c r="K306" s="1">
        <v>1</v>
      </c>
      <c r="L306">
        <f t="shared" si="8"/>
        <v>7.2875674099985429E-3</v>
      </c>
      <c r="M306">
        <f t="shared" si="9"/>
        <v>7.2875674099985428</v>
      </c>
    </row>
    <row r="307" spans="1:13" ht="14.25" customHeight="1" x14ac:dyDescent="0.25">
      <c r="A307" s="1">
        <v>2</v>
      </c>
      <c r="B307" s="1" t="s">
        <v>9</v>
      </c>
      <c r="C307" s="1" t="s">
        <v>47</v>
      </c>
      <c r="D307" s="5">
        <v>45534</v>
      </c>
      <c r="E307" s="6">
        <v>0.54097222222222219</v>
      </c>
      <c r="F307" s="1">
        <v>137.22</v>
      </c>
      <c r="G307" s="1">
        <v>4400</v>
      </c>
      <c r="H307" s="1">
        <v>32.06</v>
      </c>
      <c r="I307" s="1" t="s">
        <v>18</v>
      </c>
      <c r="J307" s="1" t="s">
        <v>36</v>
      </c>
      <c r="K307" s="1">
        <v>1</v>
      </c>
      <c r="L307">
        <f t="shared" si="8"/>
        <v>7.2875674099985429E-3</v>
      </c>
      <c r="M307">
        <f t="shared" si="9"/>
        <v>7.2875674099985428</v>
      </c>
    </row>
    <row r="308" spans="1:13" ht="14.25" customHeight="1" x14ac:dyDescent="0.25">
      <c r="A308" s="1">
        <v>2</v>
      </c>
      <c r="B308" s="1" t="s">
        <v>9</v>
      </c>
      <c r="C308" s="1" t="s">
        <v>47</v>
      </c>
      <c r="D308" s="5">
        <v>45534</v>
      </c>
      <c r="E308" s="6">
        <v>0.54097222222222219</v>
      </c>
      <c r="F308" s="1">
        <v>137.22</v>
      </c>
      <c r="G308" s="1">
        <v>4400</v>
      </c>
      <c r="H308" s="1">
        <v>32.06</v>
      </c>
      <c r="I308" s="1" t="s">
        <v>42</v>
      </c>
      <c r="J308" s="1" t="s">
        <v>12</v>
      </c>
      <c r="K308" s="1">
        <v>47</v>
      </c>
      <c r="L308">
        <f t="shared" si="8"/>
        <v>0.34251566826993152</v>
      </c>
      <c r="M308">
        <f t="shared" si="9"/>
        <v>342.5156682699315</v>
      </c>
    </row>
    <row r="309" spans="1:13" ht="14.25" customHeight="1" x14ac:dyDescent="0.25">
      <c r="A309" s="1">
        <v>2</v>
      </c>
      <c r="B309" s="1" t="s">
        <v>9</v>
      </c>
      <c r="C309" s="1" t="s">
        <v>47</v>
      </c>
      <c r="D309" s="5">
        <v>45534</v>
      </c>
      <c r="E309" s="6">
        <v>0.54097222222222219</v>
      </c>
      <c r="F309" s="1">
        <v>137.22</v>
      </c>
      <c r="G309" s="1">
        <v>4400</v>
      </c>
      <c r="H309" s="1">
        <v>32.06</v>
      </c>
      <c r="I309" s="1" t="s">
        <v>10</v>
      </c>
      <c r="J309" s="1" t="s">
        <v>13</v>
      </c>
      <c r="K309" s="1">
        <v>1</v>
      </c>
      <c r="L309">
        <f t="shared" si="8"/>
        <v>7.2875674099985429E-3</v>
      </c>
      <c r="M309">
        <f t="shared" si="9"/>
        <v>7.2875674099985428</v>
      </c>
    </row>
    <row r="310" spans="1:13" ht="14.25" customHeight="1" x14ac:dyDescent="0.25">
      <c r="A310" s="1">
        <v>2</v>
      </c>
      <c r="B310" s="1" t="s">
        <v>9</v>
      </c>
      <c r="C310" s="1" t="s">
        <v>47</v>
      </c>
      <c r="D310" s="5">
        <v>45534</v>
      </c>
      <c r="E310" s="6">
        <v>0.54097222222222219</v>
      </c>
      <c r="F310" s="1">
        <v>137.22</v>
      </c>
      <c r="G310" s="1">
        <v>4400</v>
      </c>
      <c r="H310" s="1">
        <v>32.06</v>
      </c>
      <c r="I310" s="1" t="s">
        <v>45</v>
      </c>
      <c r="J310" s="1" t="s">
        <v>32</v>
      </c>
      <c r="K310" s="1">
        <v>32</v>
      </c>
      <c r="L310">
        <f t="shared" si="8"/>
        <v>0.23320215711995337</v>
      </c>
      <c r="M310">
        <f t="shared" si="9"/>
        <v>233.20215711995337</v>
      </c>
    </row>
    <row r="311" spans="1:13" ht="14.25" customHeight="1" x14ac:dyDescent="0.25">
      <c r="A311" s="1">
        <v>2</v>
      </c>
      <c r="B311" s="1" t="s">
        <v>9</v>
      </c>
      <c r="C311" s="1" t="s">
        <v>47</v>
      </c>
      <c r="D311" s="5">
        <v>45534</v>
      </c>
      <c r="E311" s="6">
        <v>0.54097222222222219</v>
      </c>
      <c r="F311" s="1">
        <v>137.22</v>
      </c>
      <c r="G311" s="1">
        <v>4400</v>
      </c>
      <c r="H311" s="1">
        <v>32.06</v>
      </c>
      <c r="I311" s="1" t="s">
        <v>10</v>
      </c>
      <c r="J311" s="1" t="s">
        <v>11</v>
      </c>
      <c r="K311" s="1">
        <v>1</v>
      </c>
      <c r="L311">
        <f t="shared" si="8"/>
        <v>7.2875674099985429E-3</v>
      </c>
      <c r="M311">
        <f t="shared" si="9"/>
        <v>7.2875674099985428</v>
      </c>
    </row>
    <row r="312" spans="1:13" ht="14.25" customHeight="1" x14ac:dyDescent="0.25">
      <c r="A312" s="1">
        <v>2</v>
      </c>
      <c r="B312" s="1" t="s">
        <v>9</v>
      </c>
      <c r="C312" s="1" t="s">
        <v>47</v>
      </c>
      <c r="D312" s="5">
        <v>45534</v>
      </c>
      <c r="E312" s="6">
        <v>0.54097222222222219</v>
      </c>
      <c r="F312" s="1">
        <v>137.22</v>
      </c>
      <c r="G312" s="1">
        <v>4400</v>
      </c>
      <c r="H312" s="1">
        <v>32.06</v>
      </c>
      <c r="I312" s="1" t="s">
        <v>42</v>
      </c>
      <c r="J312" s="1" t="s">
        <v>17</v>
      </c>
      <c r="K312" s="1">
        <v>2</v>
      </c>
      <c r="L312">
        <f t="shared" si="8"/>
        <v>1.4575134819997086E-2</v>
      </c>
      <c r="M312">
        <f t="shared" si="9"/>
        <v>14.575134819997086</v>
      </c>
    </row>
    <row r="313" spans="1:13" ht="14.25" customHeight="1" x14ac:dyDescent="0.25">
      <c r="A313" s="1">
        <v>2</v>
      </c>
      <c r="B313" s="1" t="s">
        <v>9</v>
      </c>
      <c r="C313" s="1" t="s">
        <v>47</v>
      </c>
      <c r="D313" s="5">
        <v>45534</v>
      </c>
      <c r="E313" s="6">
        <v>0.54097222222222219</v>
      </c>
      <c r="F313" s="1">
        <v>137.22</v>
      </c>
      <c r="G313" s="1">
        <v>4400</v>
      </c>
      <c r="H313" s="1">
        <v>32.06</v>
      </c>
      <c r="I313" s="1" t="s">
        <v>45</v>
      </c>
      <c r="J313" s="1" t="s">
        <v>17</v>
      </c>
      <c r="K313" s="1">
        <v>1</v>
      </c>
      <c r="L313">
        <f t="shared" si="8"/>
        <v>7.2875674099985429E-3</v>
      </c>
      <c r="M313">
        <f t="shared" si="9"/>
        <v>7.2875674099985428</v>
      </c>
    </row>
    <row r="314" spans="1:13" ht="14.25" customHeight="1" x14ac:dyDescent="0.25">
      <c r="A314" s="1">
        <v>2</v>
      </c>
      <c r="B314" s="1" t="s">
        <v>9</v>
      </c>
      <c r="C314" s="1" t="s">
        <v>47</v>
      </c>
      <c r="D314" s="5">
        <v>45534</v>
      </c>
      <c r="E314" s="6">
        <v>0.54097222222222219</v>
      </c>
      <c r="F314" s="1">
        <v>137.22</v>
      </c>
      <c r="G314" s="1">
        <v>4400</v>
      </c>
      <c r="H314" s="1">
        <v>32.06</v>
      </c>
      <c r="I314" s="1" t="s">
        <v>42</v>
      </c>
      <c r="J314" s="1" t="s">
        <v>29</v>
      </c>
      <c r="K314" s="1">
        <v>1</v>
      </c>
      <c r="L314">
        <f t="shared" si="8"/>
        <v>7.2875674099985429E-3</v>
      </c>
      <c r="M314">
        <f t="shared" si="9"/>
        <v>7.2875674099985428</v>
      </c>
    </row>
    <row r="315" spans="1:13" ht="14.25" customHeight="1" x14ac:dyDescent="0.25">
      <c r="A315" s="1">
        <v>2</v>
      </c>
      <c r="B315" s="1" t="s">
        <v>9</v>
      </c>
      <c r="C315" s="1" t="s">
        <v>47</v>
      </c>
      <c r="D315" s="5">
        <v>45534</v>
      </c>
      <c r="E315" s="6">
        <v>0.54097222222222219</v>
      </c>
      <c r="F315" s="1">
        <v>137.22</v>
      </c>
      <c r="G315" s="1">
        <v>4400</v>
      </c>
      <c r="H315" s="1">
        <v>32.06</v>
      </c>
      <c r="I315" s="1" t="s">
        <v>45</v>
      </c>
      <c r="J315" s="1" t="s">
        <v>12</v>
      </c>
      <c r="K315" s="1">
        <v>2</v>
      </c>
      <c r="L315">
        <f t="shared" si="8"/>
        <v>1.4575134819997086E-2</v>
      </c>
      <c r="M315">
        <f t="shared" si="9"/>
        <v>14.575134819997086</v>
      </c>
    </row>
    <row r="316" spans="1:13" ht="14.25" customHeight="1" x14ac:dyDescent="0.25">
      <c r="A316" s="1">
        <v>3</v>
      </c>
      <c r="B316" s="1" t="s">
        <v>9</v>
      </c>
      <c r="C316" s="1" t="s">
        <v>47</v>
      </c>
      <c r="D316" s="5">
        <v>45534</v>
      </c>
      <c r="E316" s="6">
        <v>0.54097222222222219</v>
      </c>
      <c r="F316" s="1">
        <v>137.22</v>
      </c>
      <c r="G316" s="1">
        <v>4450</v>
      </c>
      <c r="H316" s="1">
        <v>32.43</v>
      </c>
      <c r="I316" s="1" t="s">
        <v>42</v>
      </c>
      <c r="J316" s="1" t="s">
        <v>12</v>
      </c>
      <c r="K316" s="1">
        <v>52</v>
      </c>
      <c r="L316">
        <f t="shared" si="8"/>
        <v>0.37895350531992422</v>
      </c>
      <c r="M316">
        <f t="shared" si="9"/>
        <v>378.9535053199242</v>
      </c>
    </row>
    <row r="317" spans="1:13" ht="14.25" customHeight="1" x14ac:dyDescent="0.25">
      <c r="A317" s="1">
        <v>3</v>
      </c>
      <c r="B317" s="1" t="s">
        <v>9</v>
      </c>
      <c r="C317" s="1" t="s">
        <v>47</v>
      </c>
      <c r="D317" s="5">
        <v>45534</v>
      </c>
      <c r="E317" s="6">
        <v>0.54097222222222219</v>
      </c>
      <c r="F317" s="1">
        <v>137.22</v>
      </c>
      <c r="G317" s="1">
        <v>4450</v>
      </c>
      <c r="H317" s="1">
        <v>32.43</v>
      </c>
      <c r="I317" s="1" t="s">
        <v>10</v>
      </c>
      <c r="J317" s="1" t="s">
        <v>13</v>
      </c>
      <c r="K317" s="1">
        <v>2</v>
      </c>
      <c r="L317">
        <f t="shared" si="8"/>
        <v>1.4575134819997086E-2</v>
      </c>
      <c r="M317">
        <f t="shared" si="9"/>
        <v>14.575134819997086</v>
      </c>
    </row>
    <row r="318" spans="1:13" ht="14.25" customHeight="1" x14ac:dyDescent="0.25">
      <c r="A318" s="1">
        <v>3</v>
      </c>
      <c r="B318" s="1" t="s">
        <v>9</v>
      </c>
      <c r="C318" s="1" t="s">
        <v>47</v>
      </c>
      <c r="D318" s="5">
        <v>45534</v>
      </c>
      <c r="E318" s="6">
        <v>0.54097222222222219</v>
      </c>
      <c r="F318" s="1">
        <v>137.22</v>
      </c>
      <c r="G318" s="1">
        <v>4450</v>
      </c>
      <c r="H318" s="1">
        <v>32.43</v>
      </c>
      <c r="I318" s="1" t="s">
        <v>45</v>
      </c>
      <c r="J318" s="1" t="s">
        <v>32</v>
      </c>
      <c r="K318" s="1">
        <v>20</v>
      </c>
      <c r="L318">
        <f t="shared" si="8"/>
        <v>0.14575134819997085</v>
      </c>
      <c r="M318">
        <f t="shared" si="9"/>
        <v>145.75134819997083</v>
      </c>
    </row>
    <row r="319" spans="1:13" ht="14.25" customHeight="1" x14ac:dyDescent="0.25">
      <c r="A319" s="1">
        <v>3</v>
      </c>
      <c r="B319" s="1" t="s">
        <v>9</v>
      </c>
      <c r="C319" s="1" t="s">
        <v>47</v>
      </c>
      <c r="D319" s="5">
        <v>45534</v>
      </c>
      <c r="E319" s="6">
        <v>0.54097222222222219</v>
      </c>
      <c r="F319" s="1">
        <v>137.22</v>
      </c>
      <c r="G319" s="1">
        <v>4450</v>
      </c>
      <c r="H319" s="1">
        <v>32.43</v>
      </c>
      <c r="I319" s="1" t="s">
        <v>23</v>
      </c>
      <c r="K319" s="1">
        <v>2</v>
      </c>
      <c r="L319">
        <f t="shared" si="8"/>
        <v>1.4575134819997086E-2</v>
      </c>
      <c r="M319">
        <f t="shared" si="9"/>
        <v>14.575134819997086</v>
      </c>
    </row>
    <row r="320" spans="1:13" ht="14.25" customHeight="1" x14ac:dyDescent="0.25">
      <c r="A320" s="1">
        <v>3</v>
      </c>
      <c r="B320" s="1" t="s">
        <v>9</v>
      </c>
      <c r="C320" s="1" t="s">
        <v>47</v>
      </c>
      <c r="D320" s="5">
        <v>45534</v>
      </c>
      <c r="E320" s="6">
        <v>0.54097222222222219</v>
      </c>
      <c r="F320" s="1">
        <v>137.22</v>
      </c>
      <c r="G320" s="1">
        <v>4450</v>
      </c>
      <c r="H320" s="1">
        <v>32.43</v>
      </c>
      <c r="I320" s="1" t="s">
        <v>42</v>
      </c>
      <c r="J320" s="1" t="s">
        <v>17</v>
      </c>
      <c r="K320" s="1">
        <v>6</v>
      </c>
      <c r="L320">
        <f t="shared" si="8"/>
        <v>4.3725404459991256E-2</v>
      </c>
      <c r="M320">
        <f t="shared" si="9"/>
        <v>43.725404459991253</v>
      </c>
    </row>
    <row r="321" spans="1:13" ht="14.25" customHeight="1" x14ac:dyDescent="0.25">
      <c r="A321" s="1">
        <v>3</v>
      </c>
      <c r="B321" s="1" t="s">
        <v>9</v>
      </c>
      <c r="C321" s="1" t="s">
        <v>47</v>
      </c>
      <c r="D321" s="5">
        <v>45534</v>
      </c>
      <c r="E321" s="6">
        <v>0.54097222222222219</v>
      </c>
      <c r="F321" s="1">
        <v>137.22</v>
      </c>
      <c r="G321" s="1">
        <v>4450</v>
      </c>
      <c r="H321" s="1">
        <v>32.43</v>
      </c>
      <c r="I321" s="1" t="s">
        <v>18</v>
      </c>
      <c r="J321" s="1" t="s">
        <v>36</v>
      </c>
      <c r="K321" s="1">
        <v>1</v>
      </c>
      <c r="L321">
        <f t="shared" si="8"/>
        <v>7.2875674099985429E-3</v>
      </c>
      <c r="M321">
        <f t="shared" si="9"/>
        <v>7.2875674099985428</v>
      </c>
    </row>
    <row r="322" spans="1:13" ht="14.25" customHeight="1" x14ac:dyDescent="0.25">
      <c r="A322" s="1">
        <v>3</v>
      </c>
      <c r="B322" s="1" t="s">
        <v>9</v>
      </c>
      <c r="C322" s="1" t="s">
        <v>47</v>
      </c>
      <c r="D322" s="5">
        <v>45534</v>
      </c>
      <c r="E322" s="6">
        <v>0.54097222222222219</v>
      </c>
      <c r="F322" s="1">
        <v>137.22</v>
      </c>
      <c r="G322" s="1">
        <v>4450</v>
      </c>
      <c r="H322" s="1">
        <v>32.43</v>
      </c>
      <c r="I322" s="1" t="s">
        <v>10</v>
      </c>
      <c r="J322" s="1" t="s">
        <v>11</v>
      </c>
      <c r="K322" s="1">
        <v>3</v>
      </c>
      <c r="L322">
        <f t="shared" si="8"/>
        <v>2.1862702229995628E-2</v>
      </c>
      <c r="M322">
        <f t="shared" si="9"/>
        <v>21.862702229995627</v>
      </c>
    </row>
    <row r="323" spans="1:13" ht="14.25" customHeight="1" x14ac:dyDescent="0.25">
      <c r="A323" s="1">
        <v>3</v>
      </c>
      <c r="B323" s="1" t="s">
        <v>9</v>
      </c>
      <c r="C323" s="1" t="s">
        <v>47</v>
      </c>
      <c r="D323" s="5">
        <v>45534</v>
      </c>
      <c r="E323" s="6">
        <v>0.54097222222222219</v>
      </c>
      <c r="F323" s="1">
        <v>137.22</v>
      </c>
      <c r="G323" s="1">
        <v>4450</v>
      </c>
      <c r="H323" s="1">
        <v>32.43</v>
      </c>
      <c r="I323" s="1" t="s">
        <v>27</v>
      </c>
      <c r="K323" s="1">
        <v>1</v>
      </c>
      <c r="L323">
        <f t="shared" ref="L323:L379" si="10">(K323/F323)</f>
        <v>7.2875674099985429E-3</v>
      </c>
      <c r="M323">
        <f t="shared" si="9"/>
        <v>7.2875674099985428</v>
      </c>
    </row>
    <row r="324" spans="1:13" ht="14.25" customHeight="1" x14ac:dyDescent="0.25">
      <c r="A324" s="1">
        <v>3</v>
      </c>
      <c r="B324" s="1" t="s">
        <v>9</v>
      </c>
      <c r="C324" s="1" t="s">
        <v>47</v>
      </c>
      <c r="D324" s="5">
        <v>45534</v>
      </c>
      <c r="E324" s="6">
        <v>0.54097222222222219</v>
      </c>
      <c r="F324" s="1">
        <v>137.22</v>
      </c>
      <c r="G324" s="1">
        <v>4450</v>
      </c>
      <c r="H324" s="1">
        <v>32.43</v>
      </c>
      <c r="I324" s="1" t="s">
        <v>42</v>
      </c>
      <c r="J324" s="1" t="s">
        <v>29</v>
      </c>
      <c r="K324" s="1">
        <v>1</v>
      </c>
      <c r="L324">
        <f t="shared" si="10"/>
        <v>7.2875674099985429E-3</v>
      </c>
      <c r="M324">
        <f t="shared" si="9"/>
        <v>7.2875674099985428</v>
      </c>
    </row>
    <row r="325" spans="1:13" ht="14.25" customHeight="1" x14ac:dyDescent="0.25">
      <c r="A325" s="1">
        <v>3</v>
      </c>
      <c r="B325" s="1" t="s">
        <v>9</v>
      </c>
      <c r="C325" s="1" t="s">
        <v>47</v>
      </c>
      <c r="D325" s="5">
        <v>45534</v>
      </c>
      <c r="E325" s="6">
        <v>0.54097222222222219</v>
      </c>
      <c r="F325" s="1">
        <v>137.22</v>
      </c>
      <c r="G325" s="1">
        <v>4450</v>
      </c>
      <c r="H325" s="1">
        <v>32.43</v>
      </c>
      <c r="I325" s="1" t="s">
        <v>14</v>
      </c>
      <c r="K325" s="1">
        <v>1</v>
      </c>
      <c r="L325">
        <f t="shared" si="10"/>
        <v>7.2875674099985429E-3</v>
      </c>
      <c r="M325">
        <f t="shared" ref="M325:M379" si="11">L325*1000</f>
        <v>7.2875674099985428</v>
      </c>
    </row>
    <row r="326" spans="1:13" ht="14.25" customHeight="1" x14ac:dyDescent="0.25">
      <c r="A326" s="1">
        <v>1</v>
      </c>
      <c r="B326" s="1" t="s">
        <v>9</v>
      </c>
      <c r="C326" s="1" t="s">
        <v>47</v>
      </c>
      <c r="D326" s="5">
        <v>45491</v>
      </c>
      <c r="E326" s="7">
        <v>0.71250000000000002</v>
      </c>
      <c r="F326" s="1">
        <v>69.709999999999994</v>
      </c>
      <c r="G326" s="1">
        <v>5000</v>
      </c>
      <c r="H326" s="1">
        <v>71.73</v>
      </c>
      <c r="I326" s="1" t="s">
        <v>10</v>
      </c>
      <c r="J326" s="1" t="s">
        <v>11</v>
      </c>
      <c r="K326" s="1">
        <v>13</v>
      </c>
      <c r="L326">
        <f t="shared" si="10"/>
        <v>0.18648687419308566</v>
      </c>
      <c r="M326">
        <f t="shared" si="11"/>
        <v>186.48687419308567</v>
      </c>
    </row>
    <row r="327" spans="1:13" ht="14.25" customHeight="1" x14ac:dyDescent="0.25">
      <c r="A327" s="1">
        <v>1</v>
      </c>
      <c r="B327" s="1" t="s">
        <v>9</v>
      </c>
      <c r="C327" s="1" t="s">
        <v>47</v>
      </c>
      <c r="D327" s="5">
        <v>45491</v>
      </c>
      <c r="E327" s="7">
        <v>0.71250000000000002</v>
      </c>
      <c r="F327" s="1">
        <v>69.709999999999994</v>
      </c>
      <c r="G327" s="1">
        <v>5000</v>
      </c>
      <c r="H327" s="1">
        <v>71.73</v>
      </c>
      <c r="I327" s="1" t="s">
        <v>10</v>
      </c>
      <c r="J327" s="1" t="s">
        <v>13</v>
      </c>
      <c r="K327" s="1">
        <v>29</v>
      </c>
      <c r="L327">
        <f t="shared" si="10"/>
        <v>0.41600918089226802</v>
      </c>
      <c r="M327">
        <f t="shared" si="11"/>
        <v>416.00918089226803</v>
      </c>
    </row>
    <row r="328" spans="1:13" ht="14.25" customHeight="1" x14ac:dyDescent="0.25">
      <c r="A328" s="1">
        <v>1</v>
      </c>
      <c r="B328" s="1" t="s">
        <v>9</v>
      </c>
      <c r="C328" s="1" t="s">
        <v>47</v>
      </c>
      <c r="D328" s="5">
        <v>45491</v>
      </c>
      <c r="E328" s="7">
        <v>0.71250000000000002</v>
      </c>
      <c r="F328" s="1">
        <v>69.709999999999994</v>
      </c>
      <c r="G328" s="1">
        <v>5000</v>
      </c>
      <c r="H328" s="1">
        <v>71.73</v>
      </c>
      <c r="I328" s="1" t="s">
        <v>18</v>
      </c>
      <c r="J328" s="1" t="s">
        <v>13</v>
      </c>
      <c r="K328" s="1">
        <v>4</v>
      </c>
      <c r="L328">
        <f t="shared" si="10"/>
        <v>5.738057667479559E-2</v>
      </c>
      <c r="M328">
        <f t="shared" si="11"/>
        <v>57.380576674795591</v>
      </c>
    </row>
    <row r="329" spans="1:13" ht="14.25" customHeight="1" x14ac:dyDescent="0.25">
      <c r="A329" s="1">
        <v>1</v>
      </c>
      <c r="B329" s="1" t="s">
        <v>9</v>
      </c>
      <c r="C329" s="1" t="s">
        <v>47</v>
      </c>
      <c r="D329" s="5">
        <v>45491</v>
      </c>
      <c r="E329" s="7">
        <v>0.71250000000000002</v>
      </c>
      <c r="F329" s="1">
        <v>69.709999999999994</v>
      </c>
      <c r="G329" s="1">
        <v>5000</v>
      </c>
      <c r="H329" s="1">
        <v>71.73</v>
      </c>
      <c r="I329" s="1" t="s">
        <v>15</v>
      </c>
      <c r="K329" s="1">
        <v>8</v>
      </c>
      <c r="L329">
        <f t="shared" si="10"/>
        <v>0.11476115334959118</v>
      </c>
      <c r="M329">
        <f t="shared" si="11"/>
        <v>114.76115334959118</v>
      </c>
    </row>
    <row r="330" spans="1:13" ht="14.25" customHeight="1" x14ac:dyDescent="0.25">
      <c r="A330" s="1">
        <v>1</v>
      </c>
      <c r="B330" s="1" t="s">
        <v>9</v>
      </c>
      <c r="C330" s="1" t="s">
        <v>47</v>
      </c>
      <c r="D330" s="5">
        <v>45491</v>
      </c>
      <c r="E330" s="7">
        <v>0.71250000000000002</v>
      </c>
      <c r="F330" s="1">
        <v>69.709999999999994</v>
      </c>
      <c r="G330" s="1">
        <v>5000</v>
      </c>
      <c r="H330" s="1">
        <v>71.73</v>
      </c>
      <c r="I330" s="1" t="s">
        <v>42</v>
      </c>
      <c r="J330" s="1" t="s">
        <v>12</v>
      </c>
      <c r="K330" s="1">
        <v>24</v>
      </c>
      <c r="L330">
        <f t="shared" si="10"/>
        <v>0.34428346004877353</v>
      </c>
      <c r="M330">
        <f t="shared" si="11"/>
        <v>344.28346004877352</v>
      </c>
    </row>
    <row r="331" spans="1:13" ht="14.25" customHeight="1" x14ac:dyDescent="0.25">
      <c r="A331" s="1">
        <v>1</v>
      </c>
      <c r="B331" s="1" t="s">
        <v>9</v>
      </c>
      <c r="C331" s="1" t="s">
        <v>47</v>
      </c>
      <c r="D331" s="5">
        <v>45491</v>
      </c>
      <c r="E331" s="7">
        <v>0.71250000000000002</v>
      </c>
      <c r="F331" s="1">
        <v>69.709999999999994</v>
      </c>
      <c r="G331" s="1">
        <v>5000</v>
      </c>
      <c r="H331" s="1">
        <v>71.73</v>
      </c>
      <c r="I331" s="1" t="s">
        <v>18</v>
      </c>
      <c r="K331" s="1">
        <v>8</v>
      </c>
      <c r="L331">
        <f t="shared" si="10"/>
        <v>0.11476115334959118</v>
      </c>
      <c r="M331">
        <f t="shared" si="11"/>
        <v>114.76115334959118</v>
      </c>
    </row>
    <row r="332" spans="1:13" ht="14.25" customHeight="1" x14ac:dyDescent="0.25">
      <c r="A332" s="1">
        <v>1</v>
      </c>
      <c r="B332" s="1" t="s">
        <v>9</v>
      </c>
      <c r="C332" s="1" t="s">
        <v>47</v>
      </c>
      <c r="D332" s="5">
        <v>45491</v>
      </c>
      <c r="E332" s="7">
        <v>0.71250000000000002</v>
      </c>
      <c r="F332" s="1">
        <v>69.709999999999994</v>
      </c>
      <c r="G332" s="1">
        <v>5000</v>
      </c>
      <c r="H332" s="1">
        <v>71.73</v>
      </c>
      <c r="I332" s="1" t="s">
        <v>31</v>
      </c>
      <c r="J332" s="1" t="s">
        <v>37</v>
      </c>
      <c r="K332" s="1">
        <v>2</v>
      </c>
      <c r="L332">
        <f t="shared" si="10"/>
        <v>2.8690288337397795E-2</v>
      </c>
      <c r="M332">
        <f t="shared" si="11"/>
        <v>28.690288337397796</v>
      </c>
    </row>
    <row r="333" spans="1:13" ht="14.25" customHeight="1" x14ac:dyDescent="0.25">
      <c r="A333" s="1">
        <v>1</v>
      </c>
      <c r="B333" s="1" t="s">
        <v>9</v>
      </c>
      <c r="C333" s="1" t="s">
        <v>47</v>
      </c>
      <c r="D333" s="5">
        <v>45491</v>
      </c>
      <c r="E333" s="7">
        <v>0.71250000000000002</v>
      </c>
      <c r="F333" s="1">
        <v>69.709999999999994</v>
      </c>
      <c r="G333" s="1">
        <v>5000</v>
      </c>
      <c r="H333" s="1">
        <v>71.73</v>
      </c>
      <c r="I333" s="1" t="s">
        <v>31</v>
      </c>
      <c r="J333" s="1" t="s">
        <v>32</v>
      </c>
      <c r="K333" s="1">
        <v>2</v>
      </c>
      <c r="L333">
        <f t="shared" si="10"/>
        <v>2.8690288337397795E-2</v>
      </c>
      <c r="M333">
        <f t="shared" si="11"/>
        <v>28.690288337397796</v>
      </c>
    </row>
    <row r="334" spans="1:13" ht="14.25" customHeight="1" x14ac:dyDescent="0.25">
      <c r="A334" s="1">
        <v>1</v>
      </c>
      <c r="B334" s="1" t="s">
        <v>9</v>
      </c>
      <c r="C334" s="1" t="s">
        <v>47</v>
      </c>
      <c r="D334" s="5">
        <v>45491</v>
      </c>
      <c r="E334" s="7">
        <v>0.71250000000000002</v>
      </c>
      <c r="F334" s="1">
        <v>69.709999999999994</v>
      </c>
      <c r="G334" s="1">
        <v>5000</v>
      </c>
      <c r="H334" s="1">
        <v>71.73</v>
      </c>
      <c r="I334" s="1" t="s">
        <v>10</v>
      </c>
      <c r="J334" s="1" t="s">
        <v>38</v>
      </c>
      <c r="K334" s="1">
        <v>1</v>
      </c>
      <c r="L334">
        <f t="shared" si="10"/>
        <v>1.4345144168698898E-2</v>
      </c>
      <c r="M334">
        <f t="shared" si="11"/>
        <v>14.345144168698898</v>
      </c>
    </row>
    <row r="335" spans="1:13" ht="14.25" customHeight="1" x14ac:dyDescent="0.25">
      <c r="A335" s="1">
        <v>1</v>
      </c>
      <c r="B335" s="1" t="s">
        <v>9</v>
      </c>
      <c r="C335" s="1" t="s">
        <v>47</v>
      </c>
      <c r="D335" s="5">
        <v>45491</v>
      </c>
      <c r="E335" s="7">
        <v>0.71250000000000002</v>
      </c>
      <c r="F335" s="1">
        <v>69.709999999999994</v>
      </c>
      <c r="G335" s="1">
        <v>5000</v>
      </c>
      <c r="H335" s="1">
        <v>71.73</v>
      </c>
      <c r="I335" s="1" t="s">
        <v>42</v>
      </c>
      <c r="J335" s="1" t="s">
        <v>17</v>
      </c>
      <c r="K335" s="1">
        <v>2</v>
      </c>
      <c r="L335">
        <f t="shared" si="10"/>
        <v>2.8690288337397795E-2</v>
      </c>
      <c r="M335">
        <f t="shared" si="11"/>
        <v>28.690288337397796</v>
      </c>
    </row>
    <row r="336" spans="1:13" ht="14.25" customHeight="1" x14ac:dyDescent="0.25">
      <c r="A336" s="1">
        <v>1</v>
      </c>
      <c r="B336" s="1" t="s">
        <v>9</v>
      </c>
      <c r="C336" s="1" t="s">
        <v>47</v>
      </c>
      <c r="D336" s="5">
        <v>45491</v>
      </c>
      <c r="E336" s="7">
        <v>0.71250000000000002</v>
      </c>
      <c r="F336" s="1">
        <v>69.709999999999994</v>
      </c>
      <c r="G336" s="1">
        <v>5000</v>
      </c>
      <c r="H336" s="1">
        <v>71.73</v>
      </c>
      <c r="I336" s="1" t="s">
        <v>14</v>
      </c>
      <c r="K336" s="1">
        <v>1</v>
      </c>
      <c r="L336">
        <f t="shared" si="10"/>
        <v>1.4345144168698898E-2</v>
      </c>
      <c r="M336">
        <f t="shared" si="11"/>
        <v>14.345144168698898</v>
      </c>
    </row>
    <row r="337" spans="1:13" ht="14.25" customHeight="1" x14ac:dyDescent="0.25">
      <c r="A337" s="1">
        <v>1</v>
      </c>
      <c r="B337" s="1" t="s">
        <v>9</v>
      </c>
      <c r="C337" s="1" t="s">
        <v>47</v>
      </c>
      <c r="D337" s="5">
        <v>45491</v>
      </c>
      <c r="E337" s="7">
        <v>0.71250000000000002</v>
      </c>
      <c r="F337" s="1">
        <v>69.709999999999994</v>
      </c>
      <c r="G337" s="1">
        <v>5000</v>
      </c>
      <c r="H337" s="1">
        <v>71.73</v>
      </c>
      <c r="I337" s="1" t="s">
        <v>20</v>
      </c>
      <c r="K337" s="1">
        <v>6</v>
      </c>
      <c r="L337">
        <f t="shared" si="10"/>
        <v>8.6070865012193382E-2</v>
      </c>
      <c r="M337">
        <f t="shared" si="11"/>
        <v>86.07086501219338</v>
      </c>
    </row>
    <row r="338" spans="1:13" ht="14.25" customHeight="1" x14ac:dyDescent="0.25">
      <c r="A338" s="1">
        <v>2</v>
      </c>
      <c r="B338" s="1" t="s">
        <v>9</v>
      </c>
      <c r="C338" s="1" t="s">
        <v>47</v>
      </c>
      <c r="D338" s="5">
        <v>45491</v>
      </c>
      <c r="E338" s="7">
        <v>0.71250000000000002</v>
      </c>
      <c r="F338" s="1">
        <v>69.709999999999994</v>
      </c>
      <c r="G338" s="1">
        <v>6000</v>
      </c>
      <c r="H338" s="1">
        <v>86.07</v>
      </c>
      <c r="I338" s="1" t="s">
        <v>10</v>
      </c>
      <c r="J338" s="1" t="s">
        <v>13</v>
      </c>
      <c r="K338" s="1">
        <v>34</v>
      </c>
      <c r="L338">
        <f t="shared" si="10"/>
        <v>0.4877349017357625</v>
      </c>
      <c r="M338">
        <f t="shared" si="11"/>
        <v>487.73490173576249</v>
      </c>
    </row>
    <row r="339" spans="1:13" ht="14.25" customHeight="1" x14ac:dyDescent="0.25">
      <c r="A339" s="1">
        <v>2</v>
      </c>
      <c r="B339" s="1" t="s">
        <v>9</v>
      </c>
      <c r="C339" s="1" t="s">
        <v>47</v>
      </c>
      <c r="D339" s="5">
        <v>45491</v>
      </c>
      <c r="E339" s="7">
        <v>0.71250000000000002</v>
      </c>
      <c r="F339" s="1">
        <v>69.709999999999994</v>
      </c>
      <c r="G339" s="1">
        <v>6000</v>
      </c>
      <c r="H339" s="1">
        <v>86.07</v>
      </c>
      <c r="I339" s="1" t="s">
        <v>10</v>
      </c>
      <c r="J339" s="1" t="s">
        <v>11</v>
      </c>
      <c r="K339" s="1">
        <v>22</v>
      </c>
      <c r="L339">
        <f t="shared" si="10"/>
        <v>0.31559317171137574</v>
      </c>
      <c r="M339">
        <f t="shared" si="11"/>
        <v>315.59317171137576</v>
      </c>
    </row>
    <row r="340" spans="1:13" ht="14.25" customHeight="1" x14ac:dyDescent="0.25">
      <c r="A340" s="1">
        <v>2</v>
      </c>
      <c r="B340" s="1" t="s">
        <v>9</v>
      </c>
      <c r="C340" s="1" t="s">
        <v>47</v>
      </c>
      <c r="D340" s="5">
        <v>45491</v>
      </c>
      <c r="E340" s="7">
        <v>0.71250000000000002</v>
      </c>
      <c r="F340" s="1">
        <v>69.709999999999994</v>
      </c>
      <c r="G340" s="1">
        <v>6000</v>
      </c>
      <c r="H340" s="1">
        <v>86.07</v>
      </c>
      <c r="I340" s="1" t="s">
        <v>18</v>
      </c>
      <c r="J340" s="1" t="s">
        <v>13</v>
      </c>
      <c r="K340" s="1">
        <v>2</v>
      </c>
      <c r="L340">
        <f t="shared" si="10"/>
        <v>2.8690288337397795E-2</v>
      </c>
      <c r="M340">
        <f t="shared" si="11"/>
        <v>28.690288337397796</v>
      </c>
    </row>
    <row r="341" spans="1:13" ht="14.25" customHeight="1" x14ac:dyDescent="0.25">
      <c r="A341" s="1">
        <v>2</v>
      </c>
      <c r="B341" s="1" t="s">
        <v>9</v>
      </c>
      <c r="C341" s="1" t="s">
        <v>47</v>
      </c>
      <c r="D341" s="5">
        <v>45491</v>
      </c>
      <c r="E341" s="7">
        <v>0.71250000000000002</v>
      </c>
      <c r="F341" s="1">
        <v>69.709999999999994</v>
      </c>
      <c r="G341" s="1">
        <v>6000</v>
      </c>
      <c r="H341" s="1">
        <v>86.07</v>
      </c>
      <c r="I341" s="1" t="s">
        <v>42</v>
      </c>
      <c r="J341" s="1" t="s">
        <v>12</v>
      </c>
      <c r="K341" s="1">
        <v>22</v>
      </c>
      <c r="L341">
        <f t="shared" si="10"/>
        <v>0.31559317171137574</v>
      </c>
      <c r="M341">
        <f t="shared" si="11"/>
        <v>315.59317171137576</v>
      </c>
    </row>
    <row r="342" spans="1:13" ht="14.25" customHeight="1" x14ac:dyDescent="0.25">
      <c r="A342" s="1">
        <v>2</v>
      </c>
      <c r="B342" s="1" t="s">
        <v>9</v>
      </c>
      <c r="C342" s="1" t="s">
        <v>47</v>
      </c>
      <c r="D342" s="5">
        <v>45491</v>
      </c>
      <c r="E342" s="7">
        <v>0.71250000000000002</v>
      </c>
      <c r="F342" s="1">
        <v>69.709999999999994</v>
      </c>
      <c r="G342" s="1">
        <v>6000</v>
      </c>
      <c r="H342" s="1">
        <v>86.07</v>
      </c>
      <c r="I342" s="1" t="s">
        <v>42</v>
      </c>
      <c r="J342" s="1" t="s">
        <v>17</v>
      </c>
      <c r="K342" s="1">
        <v>2</v>
      </c>
      <c r="L342">
        <f t="shared" si="10"/>
        <v>2.8690288337397795E-2</v>
      </c>
      <c r="M342">
        <f t="shared" si="11"/>
        <v>28.690288337397796</v>
      </c>
    </row>
    <row r="343" spans="1:13" ht="14.25" customHeight="1" x14ac:dyDescent="0.25">
      <c r="A343" s="1">
        <v>2</v>
      </c>
      <c r="B343" s="1" t="s">
        <v>9</v>
      </c>
      <c r="C343" s="1" t="s">
        <v>47</v>
      </c>
      <c r="D343" s="5">
        <v>45491</v>
      </c>
      <c r="E343" s="7">
        <v>0.71250000000000002</v>
      </c>
      <c r="F343" s="1">
        <v>69.709999999999994</v>
      </c>
      <c r="G343" s="1">
        <v>6000</v>
      </c>
      <c r="H343" s="1">
        <v>86.07</v>
      </c>
      <c r="I343" s="1" t="s">
        <v>24</v>
      </c>
      <c r="K343" s="1">
        <v>1</v>
      </c>
      <c r="L343">
        <f t="shared" si="10"/>
        <v>1.4345144168698898E-2</v>
      </c>
      <c r="M343">
        <f t="shared" si="11"/>
        <v>14.345144168698898</v>
      </c>
    </row>
    <row r="344" spans="1:13" ht="14.25" customHeight="1" x14ac:dyDescent="0.25">
      <c r="A344" s="1">
        <v>2</v>
      </c>
      <c r="B344" s="1" t="s">
        <v>9</v>
      </c>
      <c r="C344" s="1" t="s">
        <v>47</v>
      </c>
      <c r="D344" s="5">
        <v>45491</v>
      </c>
      <c r="E344" s="7">
        <v>0.71250000000000002</v>
      </c>
      <c r="F344" s="1">
        <v>69.709999999999994</v>
      </c>
      <c r="G344" s="1">
        <v>6000</v>
      </c>
      <c r="H344" s="1">
        <v>86.07</v>
      </c>
      <c r="I344" s="1" t="s">
        <v>20</v>
      </c>
      <c r="K344" s="1">
        <v>9</v>
      </c>
      <c r="L344">
        <f t="shared" si="10"/>
        <v>0.12910629751829006</v>
      </c>
      <c r="M344">
        <f t="shared" si="11"/>
        <v>129.10629751829006</v>
      </c>
    </row>
    <row r="345" spans="1:13" ht="14.25" customHeight="1" x14ac:dyDescent="0.25">
      <c r="A345" s="1">
        <v>2</v>
      </c>
      <c r="B345" s="1" t="s">
        <v>9</v>
      </c>
      <c r="C345" s="1" t="s">
        <v>47</v>
      </c>
      <c r="D345" s="5">
        <v>45491</v>
      </c>
      <c r="E345" s="7">
        <v>0.71250000000000002</v>
      </c>
      <c r="F345" s="1">
        <v>69.709999999999994</v>
      </c>
      <c r="G345" s="1">
        <v>6000</v>
      </c>
      <c r="H345" s="1">
        <v>86.07</v>
      </c>
      <c r="I345" s="1" t="s">
        <v>42</v>
      </c>
      <c r="J345" s="1" t="s">
        <v>17</v>
      </c>
      <c r="K345" s="1">
        <v>2</v>
      </c>
      <c r="L345">
        <f t="shared" si="10"/>
        <v>2.8690288337397795E-2</v>
      </c>
      <c r="M345">
        <f t="shared" si="11"/>
        <v>28.690288337397796</v>
      </c>
    </row>
    <row r="346" spans="1:13" ht="14.25" customHeight="1" x14ac:dyDescent="0.25">
      <c r="A346" s="1">
        <v>2</v>
      </c>
      <c r="B346" s="1" t="s">
        <v>9</v>
      </c>
      <c r="C346" s="1" t="s">
        <v>47</v>
      </c>
      <c r="D346" s="5">
        <v>45491</v>
      </c>
      <c r="E346" s="7">
        <v>0.71250000000000002</v>
      </c>
      <c r="F346" s="1">
        <v>69.709999999999994</v>
      </c>
      <c r="G346" s="1">
        <v>6000</v>
      </c>
      <c r="H346" s="1">
        <v>86.07</v>
      </c>
      <c r="I346" s="1" t="s">
        <v>18</v>
      </c>
      <c r="K346" s="1">
        <v>2</v>
      </c>
      <c r="L346">
        <f t="shared" si="10"/>
        <v>2.8690288337397795E-2</v>
      </c>
      <c r="M346">
        <f t="shared" si="11"/>
        <v>28.690288337397796</v>
      </c>
    </row>
    <row r="347" spans="1:13" ht="14.25" customHeight="1" x14ac:dyDescent="0.25">
      <c r="A347" s="1">
        <v>2</v>
      </c>
      <c r="B347" s="1" t="s">
        <v>9</v>
      </c>
      <c r="C347" s="1" t="s">
        <v>47</v>
      </c>
      <c r="D347" s="5">
        <v>45491</v>
      </c>
      <c r="E347" s="7">
        <v>0.71250000000000002</v>
      </c>
      <c r="F347" s="1">
        <v>69.709999999999994</v>
      </c>
      <c r="G347" s="1">
        <v>6000</v>
      </c>
      <c r="H347" s="1">
        <v>86.07</v>
      </c>
      <c r="I347" s="1" t="s">
        <v>15</v>
      </c>
      <c r="K347" s="1">
        <v>4</v>
      </c>
      <c r="L347">
        <f t="shared" si="10"/>
        <v>5.738057667479559E-2</v>
      </c>
      <c r="M347">
        <f t="shared" si="11"/>
        <v>57.380576674795591</v>
      </c>
    </row>
    <row r="348" spans="1:13" ht="14.25" customHeight="1" x14ac:dyDescent="0.25">
      <c r="A348" s="1">
        <v>3</v>
      </c>
      <c r="B348" s="1" t="s">
        <v>9</v>
      </c>
      <c r="C348" s="1" t="s">
        <v>47</v>
      </c>
      <c r="D348" s="5">
        <v>45491</v>
      </c>
      <c r="E348" s="7">
        <v>0.71250000000000002</v>
      </c>
      <c r="F348" s="1">
        <v>69.709999999999994</v>
      </c>
      <c r="G348" s="1">
        <v>5280</v>
      </c>
      <c r="H348" s="1">
        <v>75.75</v>
      </c>
      <c r="I348" s="1" t="s">
        <v>15</v>
      </c>
      <c r="K348" s="1">
        <v>4</v>
      </c>
      <c r="L348">
        <f t="shared" si="10"/>
        <v>5.738057667479559E-2</v>
      </c>
      <c r="M348">
        <f t="shared" si="11"/>
        <v>57.380576674795591</v>
      </c>
    </row>
    <row r="349" spans="1:13" ht="14.25" customHeight="1" x14ac:dyDescent="0.25">
      <c r="A349" s="1">
        <v>3</v>
      </c>
      <c r="B349" s="1" t="s">
        <v>9</v>
      </c>
      <c r="C349" s="1" t="s">
        <v>47</v>
      </c>
      <c r="D349" s="5">
        <v>45491</v>
      </c>
      <c r="E349" s="7">
        <v>0.71250000000000002</v>
      </c>
      <c r="F349" s="1">
        <v>69.709999999999994</v>
      </c>
      <c r="G349" s="1">
        <v>5280</v>
      </c>
      <c r="H349" s="1">
        <v>75.75</v>
      </c>
      <c r="I349" s="1" t="s">
        <v>10</v>
      </c>
      <c r="J349" s="1" t="s">
        <v>13</v>
      </c>
      <c r="K349" s="1">
        <v>22</v>
      </c>
      <c r="L349">
        <f t="shared" si="10"/>
        <v>0.31559317171137574</v>
      </c>
      <c r="M349">
        <f t="shared" si="11"/>
        <v>315.59317171137576</v>
      </c>
    </row>
    <row r="350" spans="1:13" ht="14.25" customHeight="1" x14ac:dyDescent="0.25">
      <c r="A350" s="1">
        <v>3</v>
      </c>
      <c r="B350" s="1" t="s">
        <v>9</v>
      </c>
      <c r="C350" s="1" t="s">
        <v>47</v>
      </c>
      <c r="D350" s="5">
        <v>45491</v>
      </c>
      <c r="E350" s="7">
        <v>0.71250000000000002</v>
      </c>
      <c r="F350" s="1">
        <v>69.709999999999994</v>
      </c>
      <c r="G350" s="1">
        <v>5280</v>
      </c>
      <c r="H350" s="1">
        <v>75.75</v>
      </c>
      <c r="I350" s="1" t="s">
        <v>10</v>
      </c>
      <c r="J350" s="1" t="s">
        <v>11</v>
      </c>
      <c r="K350" s="1">
        <v>16</v>
      </c>
      <c r="L350">
        <f t="shared" si="10"/>
        <v>0.22952230669918236</v>
      </c>
      <c r="M350">
        <f t="shared" si="11"/>
        <v>229.52230669918237</v>
      </c>
    </row>
    <row r="351" spans="1:13" ht="14.25" customHeight="1" x14ac:dyDescent="0.25">
      <c r="A351" s="1">
        <v>3</v>
      </c>
      <c r="B351" s="1" t="s">
        <v>9</v>
      </c>
      <c r="C351" s="1" t="s">
        <v>47</v>
      </c>
      <c r="D351" s="5">
        <v>45491</v>
      </c>
      <c r="E351" s="7">
        <v>0.71250000000000002</v>
      </c>
      <c r="F351" s="1">
        <v>69.709999999999994</v>
      </c>
      <c r="G351" s="1">
        <v>5280</v>
      </c>
      <c r="H351" s="1">
        <v>75.75</v>
      </c>
      <c r="I351" s="1" t="s">
        <v>42</v>
      </c>
      <c r="J351" s="1" t="s">
        <v>17</v>
      </c>
      <c r="K351" s="1">
        <v>4</v>
      </c>
      <c r="L351">
        <f t="shared" si="10"/>
        <v>5.738057667479559E-2</v>
      </c>
      <c r="M351">
        <f t="shared" si="11"/>
        <v>57.380576674795591</v>
      </c>
    </row>
    <row r="352" spans="1:13" ht="14.25" customHeight="1" x14ac:dyDescent="0.25">
      <c r="A352" s="1">
        <v>3</v>
      </c>
      <c r="B352" s="1" t="s">
        <v>9</v>
      </c>
      <c r="C352" s="1" t="s">
        <v>47</v>
      </c>
      <c r="D352" s="5">
        <v>45491</v>
      </c>
      <c r="E352" s="7">
        <v>0.71250000000000002</v>
      </c>
      <c r="F352" s="1">
        <v>69.709999999999994</v>
      </c>
      <c r="G352" s="1">
        <v>5280</v>
      </c>
      <c r="H352" s="1">
        <v>75.75</v>
      </c>
      <c r="I352" s="1" t="s">
        <v>24</v>
      </c>
      <c r="K352" s="1">
        <v>3</v>
      </c>
      <c r="L352">
        <f t="shared" si="10"/>
        <v>4.3035432506096691E-2</v>
      </c>
      <c r="M352">
        <f t="shared" si="11"/>
        <v>43.03543250609669</v>
      </c>
    </row>
    <row r="353" spans="1:13" ht="14.25" customHeight="1" x14ac:dyDescent="0.25">
      <c r="A353" s="1">
        <v>3</v>
      </c>
      <c r="B353" s="1" t="s">
        <v>9</v>
      </c>
      <c r="C353" s="1" t="s">
        <v>47</v>
      </c>
      <c r="D353" s="5">
        <v>45491</v>
      </c>
      <c r="E353" s="7">
        <v>0.71250000000000002</v>
      </c>
      <c r="F353" s="1">
        <v>69.709999999999994</v>
      </c>
      <c r="G353" s="1">
        <v>5280</v>
      </c>
      <c r="H353" s="1">
        <v>75.75</v>
      </c>
      <c r="I353" s="1" t="s">
        <v>42</v>
      </c>
      <c r="J353" s="1" t="s">
        <v>12</v>
      </c>
      <c r="K353" s="1">
        <v>26</v>
      </c>
      <c r="L353">
        <f t="shared" si="10"/>
        <v>0.37297374838617131</v>
      </c>
      <c r="M353">
        <f t="shared" si="11"/>
        <v>372.97374838617134</v>
      </c>
    </row>
    <row r="354" spans="1:13" ht="14.25" customHeight="1" x14ac:dyDescent="0.25">
      <c r="A354" s="1">
        <v>3</v>
      </c>
      <c r="B354" s="1" t="s">
        <v>9</v>
      </c>
      <c r="C354" s="1" t="s">
        <v>47</v>
      </c>
      <c r="D354" s="5">
        <v>45491</v>
      </c>
      <c r="E354" s="7">
        <v>0.71250000000000002</v>
      </c>
      <c r="F354" s="1">
        <v>69.709999999999994</v>
      </c>
      <c r="G354" s="1">
        <v>5280</v>
      </c>
      <c r="H354" s="1">
        <v>75.75</v>
      </c>
      <c r="I354" s="1" t="s">
        <v>20</v>
      </c>
      <c r="K354" s="1">
        <v>7</v>
      </c>
      <c r="L354">
        <f t="shared" si="10"/>
        <v>0.10041600918089227</v>
      </c>
      <c r="M354">
        <f t="shared" si="11"/>
        <v>100.41600918089227</v>
      </c>
    </row>
    <row r="355" spans="1:13" ht="14.25" customHeight="1" x14ac:dyDescent="0.25">
      <c r="A355" s="1">
        <v>3</v>
      </c>
      <c r="B355" s="1" t="s">
        <v>9</v>
      </c>
      <c r="C355" s="1" t="s">
        <v>47</v>
      </c>
      <c r="D355" s="5">
        <v>45491</v>
      </c>
      <c r="E355" s="7">
        <v>0.71250000000000002</v>
      </c>
      <c r="F355" s="1">
        <v>69.709999999999994</v>
      </c>
      <c r="G355" s="1">
        <v>5280</v>
      </c>
      <c r="H355" s="1">
        <v>75.75</v>
      </c>
      <c r="I355" s="1" t="s">
        <v>42</v>
      </c>
      <c r="J355" s="1" t="s">
        <v>29</v>
      </c>
      <c r="K355" s="1">
        <v>1</v>
      </c>
      <c r="L355">
        <f t="shared" si="10"/>
        <v>1.4345144168698898E-2</v>
      </c>
      <c r="M355">
        <f t="shared" si="11"/>
        <v>14.345144168698898</v>
      </c>
    </row>
    <row r="356" spans="1:13" ht="14.25" customHeight="1" x14ac:dyDescent="0.25">
      <c r="A356" s="1">
        <v>3</v>
      </c>
      <c r="B356" s="1" t="s">
        <v>9</v>
      </c>
      <c r="C356" s="1" t="s">
        <v>47</v>
      </c>
      <c r="D356" s="5">
        <v>45491</v>
      </c>
      <c r="E356" s="7">
        <v>0.71250000000000002</v>
      </c>
      <c r="F356" s="1">
        <v>69.709999999999994</v>
      </c>
      <c r="G356" s="1">
        <v>5280</v>
      </c>
      <c r="H356" s="1">
        <v>75.75</v>
      </c>
      <c r="I356" s="1" t="s">
        <v>14</v>
      </c>
      <c r="K356" s="1">
        <v>1</v>
      </c>
      <c r="L356">
        <f t="shared" si="10"/>
        <v>1.4345144168698898E-2</v>
      </c>
      <c r="M356">
        <f t="shared" si="11"/>
        <v>14.345144168698898</v>
      </c>
    </row>
    <row r="357" spans="1:13" ht="14.25" customHeight="1" x14ac:dyDescent="0.25">
      <c r="A357" s="1">
        <v>3</v>
      </c>
      <c r="B357" s="1" t="s">
        <v>9</v>
      </c>
      <c r="C357" s="1" t="s">
        <v>47</v>
      </c>
      <c r="D357" s="5">
        <v>45491</v>
      </c>
      <c r="E357" s="7">
        <v>0.71250000000000002</v>
      </c>
      <c r="F357" s="1">
        <v>69.709999999999994</v>
      </c>
      <c r="G357" s="1">
        <v>5280</v>
      </c>
      <c r="H357" s="1">
        <v>75.75</v>
      </c>
      <c r="I357" s="1" t="s">
        <v>18</v>
      </c>
      <c r="J357" s="1" t="s">
        <v>13</v>
      </c>
      <c r="K357" s="1">
        <v>2</v>
      </c>
      <c r="L357">
        <f t="shared" si="10"/>
        <v>2.8690288337397795E-2</v>
      </c>
      <c r="M357">
        <f t="shared" si="11"/>
        <v>28.690288337397796</v>
      </c>
    </row>
    <row r="358" spans="1:13" ht="14.25" customHeight="1" x14ac:dyDescent="0.25">
      <c r="A358" s="1">
        <v>3</v>
      </c>
      <c r="B358" s="1" t="s">
        <v>9</v>
      </c>
      <c r="C358" s="1" t="s">
        <v>47</v>
      </c>
      <c r="D358" s="5">
        <v>45491</v>
      </c>
      <c r="E358" s="7">
        <v>0.71250000000000002</v>
      </c>
      <c r="F358" s="1">
        <v>69.709999999999994</v>
      </c>
      <c r="G358" s="1">
        <v>5280</v>
      </c>
      <c r="H358" s="1">
        <v>75.75</v>
      </c>
      <c r="I358" s="1" t="s">
        <v>18</v>
      </c>
      <c r="K358" s="1">
        <v>1</v>
      </c>
      <c r="L358">
        <f t="shared" si="10"/>
        <v>1.4345144168698898E-2</v>
      </c>
      <c r="M358">
        <f t="shared" si="11"/>
        <v>14.345144168698898</v>
      </c>
    </row>
    <row r="359" spans="1:13" ht="14.25" customHeight="1" x14ac:dyDescent="0.25">
      <c r="A359" s="1">
        <v>3</v>
      </c>
      <c r="B359" s="1" t="s">
        <v>9</v>
      </c>
      <c r="C359" s="1" t="s">
        <v>47</v>
      </c>
      <c r="D359" s="5">
        <v>45491</v>
      </c>
      <c r="E359" s="7">
        <v>0.71250000000000002</v>
      </c>
      <c r="F359" s="1">
        <v>69.709999999999994</v>
      </c>
      <c r="G359" s="1">
        <v>5280</v>
      </c>
      <c r="H359" s="1">
        <v>75.75</v>
      </c>
      <c r="I359" s="1" t="s">
        <v>39</v>
      </c>
      <c r="J359" s="1" t="s">
        <v>32</v>
      </c>
      <c r="K359" s="1">
        <v>1</v>
      </c>
      <c r="L359">
        <f t="shared" si="10"/>
        <v>1.4345144168698898E-2</v>
      </c>
      <c r="M359">
        <f t="shared" si="11"/>
        <v>14.345144168698898</v>
      </c>
    </row>
    <row r="360" spans="1:13" ht="14.25" customHeight="1" x14ac:dyDescent="0.25">
      <c r="A360" s="1">
        <v>1</v>
      </c>
      <c r="B360" s="1" t="s">
        <v>9</v>
      </c>
      <c r="C360" s="1" t="s">
        <v>49</v>
      </c>
      <c r="D360" s="5">
        <v>45491</v>
      </c>
      <c r="E360" s="7">
        <v>0.68680555555555556</v>
      </c>
      <c r="F360" s="1">
        <v>113.57</v>
      </c>
      <c r="G360" s="1">
        <v>2170</v>
      </c>
      <c r="H360" s="1">
        <v>19.11</v>
      </c>
      <c r="I360" s="1" t="s">
        <v>10</v>
      </c>
      <c r="J360" s="1" t="s">
        <v>11</v>
      </c>
      <c r="K360" s="1">
        <v>10</v>
      </c>
      <c r="L360">
        <f t="shared" si="10"/>
        <v>8.8051422030465801E-2</v>
      </c>
      <c r="M360">
        <f t="shared" si="11"/>
        <v>88.051422030465801</v>
      </c>
    </row>
    <row r="361" spans="1:13" ht="14.25" customHeight="1" x14ac:dyDescent="0.25">
      <c r="A361" s="1">
        <v>1</v>
      </c>
      <c r="B361" s="1" t="s">
        <v>9</v>
      </c>
      <c r="C361" s="1" t="s">
        <v>49</v>
      </c>
      <c r="D361" s="5">
        <v>45491</v>
      </c>
      <c r="E361" s="7">
        <v>0.68680555555555556</v>
      </c>
      <c r="F361" s="1">
        <v>113.57</v>
      </c>
      <c r="G361" s="1">
        <v>2170</v>
      </c>
      <c r="H361" s="1">
        <v>19.11</v>
      </c>
      <c r="I361" s="1" t="s">
        <v>20</v>
      </c>
      <c r="K361" s="1">
        <v>3</v>
      </c>
      <c r="L361">
        <f t="shared" si="10"/>
        <v>2.6415426609139741E-2</v>
      </c>
      <c r="M361">
        <f t="shared" si="11"/>
        <v>26.41542660913974</v>
      </c>
    </row>
    <row r="362" spans="1:13" ht="14.25" customHeight="1" x14ac:dyDescent="0.25">
      <c r="A362" s="1">
        <v>1</v>
      </c>
      <c r="B362" s="1" t="s">
        <v>9</v>
      </c>
      <c r="C362" s="1" t="s">
        <v>49</v>
      </c>
      <c r="D362" s="5">
        <v>45491</v>
      </c>
      <c r="E362" s="7">
        <v>0.68680555555555556</v>
      </c>
      <c r="F362" s="1">
        <v>113.57</v>
      </c>
      <c r="G362" s="1">
        <v>2170</v>
      </c>
      <c r="H362" s="1">
        <v>19.11</v>
      </c>
      <c r="I362" s="1" t="s">
        <v>42</v>
      </c>
      <c r="J362" s="1" t="s">
        <v>12</v>
      </c>
      <c r="K362" s="1">
        <v>6</v>
      </c>
      <c r="L362">
        <f t="shared" si="10"/>
        <v>5.2830853218279482E-2</v>
      </c>
      <c r="M362">
        <f t="shared" si="11"/>
        <v>52.830853218279479</v>
      </c>
    </row>
    <row r="363" spans="1:13" ht="14.25" customHeight="1" x14ac:dyDescent="0.25">
      <c r="A363" s="1">
        <v>1</v>
      </c>
      <c r="B363" s="1" t="s">
        <v>9</v>
      </c>
      <c r="C363" s="1" t="s">
        <v>49</v>
      </c>
      <c r="D363" s="5">
        <v>45491</v>
      </c>
      <c r="E363" s="7">
        <v>0.686805555555556</v>
      </c>
      <c r="F363" s="1">
        <v>113.57</v>
      </c>
      <c r="G363" s="1">
        <v>2170</v>
      </c>
      <c r="H363" s="1">
        <v>19.11</v>
      </c>
      <c r="I363" s="1" t="s">
        <v>10</v>
      </c>
      <c r="J363" s="1" t="s">
        <v>13</v>
      </c>
      <c r="K363" s="1">
        <v>7</v>
      </c>
      <c r="L363">
        <f t="shared" si="10"/>
        <v>6.1635995421326056E-2</v>
      </c>
      <c r="M363">
        <f t="shared" si="11"/>
        <v>61.635995421326058</v>
      </c>
    </row>
    <row r="364" spans="1:13" ht="14.25" customHeight="1" x14ac:dyDescent="0.25">
      <c r="A364" s="1">
        <v>1</v>
      </c>
      <c r="B364" s="1" t="s">
        <v>9</v>
      </c>
      <c r="C364" s="1" t="s">
        <v>49</v>
      </c>
      <c r="D364" s="5">
        <v>45491</v>
      </c>
      <c r="E364" s="7">
        <v>0.686805555555556</v>
      </c>
      <c r="F364" s="1">
        <v>113.57</v>
      </c>
      <c r="G364" s="1">
        <v>2170</v>
      </c>
      <c r="H364" s="1">
        <v>19.11</v>
      </c>
      <c r="I364" s="1" t="s">
        <v>14</v>
      </c>
      <c r="K364" s="1">
        <v>2</v>
      </c>
      <c r="L364">
        <f t="shared" si="10"/>
        <v>1.7610284406093159E-2</v>
      </c>
      <c r="M364">
        <f t="shared" si="11"/>
        <v>17.610284406093161</v>
      </c>
    </row>
    <row r="365" spans="1:13" ht="14.25" customHeight="1" x14ac:dyDescent="0.25">
      <c r="A365" s="1">
        <v>1</v>
      </c>
      <c r="B365" s="1" t="s">
        <v>9</v>
      </c>
      <c r="C365" s="1" t="s">
        <v>49</v>
      </c>
      <c r="D365" s="5">
        <v>45491</v>
      </c>
      <c r="E365" s="7">
        <v>0.686805555555556</v>
      </c>
      <c r="F365" s="1">
        <v>113.57</v>
      </c>
      <c r="G365" s="1">
        <v>2170</v>
      </c>
      <c r="H365" s="1">
        <v>19.11</v>
      </c>
      <c r="I365" s="1" t="s">
        <v>18</v>
      </c>
      <c r="K365" s="1">
        <v>2</v>
      </c>
      <c r="L365">
        <f t="shared" si="10"/>
        <v>1.7610284406093159E-2</v>
      </c>
      <c r="M365">
        <f t="shared" si="11"/>
        <v>17.610284406093161</v>
      </c>
    </row>
    <row r="366" spans="1:13" ht="14.25" customHeight="1" x14ac:dyDescent="0.25">
      <c r="A366" s="1">
        <v>1</v>
      </c>
      <c r="B366" s="1" t="s">
        <v>9</v>
      </c>
      <c r="C366" s="1" t="s">
        <v>49</v>
      </c>
      <c r="D366" s="5">
        <v>45491</v>
      </c>
      <c r="E366" s="7">
        <v>0.686805555555556</v>
      </c>
      <c r="F366" s="1">
        <v>113.57</v>
      </c>
      <c r="G366" s="1">
        <v>2170</v>
      </c>
      <c r="H366" s="1">
        <v>19.11</v>
      </c>
      <c r="I366" s="1" t="s">
        <v>24</v>
      </c>
      <c r="K366" s="1">
        <v>1</v>
      </c>
      <c r="L366">
        <f t="shared" si="10"/>
        <v>8.8051422030465797E-3</v>
      </c>
      <c r="M366">
        <f t="shared" si="11"/>
        <v>8.8051422030465805</v>
      </c>
    </row>
    <row r="367" spans="1:13" ht="14.25" customHeight="1" x14ac:dyDescent="0.25">
      <c r="A367" s="1">
        <v>2</v>
      </c>
      <c r="B367" s="1" t="s">
        <v>9</v>
      </c>
      <c r="C367" s="1" t="s">
        <v>49</v>
      </c>
      <c r="D367" s="5">
        <v>45491</v>
      </c>
      <c r="E367" s="7">
        <v>0.686805555555556</v>
      </c>
      <c r="F367" s="1">
        <v>113.57</v>
      </c>
      <c r="G367" s="1">
        <v>2170</v>
      </c>
      <c r="H367" s="1">
        <v>19.11</v>
      </c>
      <c r="I367" s="1" t="s">
        <v>10</v>
      </c>
      <c r="J367" s="1" t="s">
        <v>13</v>
      </c>
      <c r="K367" s="1">
        <v>9</v>
      </c>
      <c r="L367">
        <f t="shared" si="10"/>
        <v>7.9246279827419219E-2</v>
      </c>
      <c r="M367">
        <f t="shared" si="11"/>
        <v>79.246279827419215</v>
      </c>
    </row>
    <row r="368" spans="1:13" ht="14.25" customHeight="1" x14ac:dyDescent="0.25">
      <c r="A368" s="1">
        <v>2</v>
      </c>
      <c r="B368" s="1" t="s">
        <v>9</v>
      </c>
      <c r="C368" s="1" t="s">
        <v>49</v>
      </c>
      <c r="D368" s="5">
        <v>45491</v>
      </c>
      <c r="E368" s="7">
        <v>0.686805555555556</v>
      </c>
      <c r="F368" s="1">
        <v>113.57</v>
      </c>
      <c r="G368" s="1">
        <v>2170</v>
      </c>
      <c r="H368" s="1">
        <v>19.11</v>
      </c>
      <c r="I368" s="1" t="s">
        <v>10</v>
      </c>
      <c r="J368" s="1" t="s">
        <v>11</v>
      </c>
      <c r="K368" s="1">
        <v>7</v>
      </c>
      <c r="L368">
        <f t="shared" si="10"/>
        <v>6.1635995421326056E-2</v>
      </c>
      <c r="M368">
        <f t="shared" si="11"/>
        <v>61.635995421326058</v>
      </c>
    </row>
    <row r="369" spans="1:13" ht="14.25" customHeight="1" x14ac:dyDescent="0.25">
      <c r="A369" s="1">
        <v>2</v>
      </c>
      <c r="B369" s="1" t="s">
        <v>9</v>
      </c>
      <c r="C369" s="1" t="s">
        <v>49</v>
      </c>
      <c r="D369" s="5">
        <v>45491</v>
      </c>
      <c r="E369" s="7">
        <v>0.686805555555556</v>
      </c>
      <c r="F369" s="1">
        <v>113.57</v>
      </c>
      <c r="G369" s="1">
        <v>2170</v>
      </c>
      <c r="H369" s="1">
        <v>19.11</v>
      </c>
      <c r="I369" s="1" t="s">
        <v>20</v>
      </c>
      <c r="K369" s="1">
        <v>5</v>
      </c>
      <c r="L369">
        <f t="shared" si="10"/>
        <v>4.40257110152329E-2</v>
      </c>
      <c r="M369">
        <f t="shared" si="11"/>
        <v>44.025711015232901</v>
      </c>
    </row>
    <row r="370" spans="1:13" ht="14.25" customHeight="1" x14ac:dyDescent="0.25">
      <c r="A370" s="1">
        <v>2</v>
      </c>
      <c r="B370" s="1" t="s">
        <v>9</v>
      </c>
      <c r="C370" s="1" t="s">
        <v>49</v>
      </c>
      <c r="D370" s="5">
        <v>45491</v>
      </c>
      <c r="E370" s="7">
        <v>0.686805555555556</v>
      </c>
      <c r="F370" s="1">
        <v>113.57</v>
      </c>
      <c r="G370" s="1">
        <v>2170</v>
      </c>
      <c r="H370" s="1">
        <v>19.11</v>
      </c>
      <c r="I370" s="1" t="s">
        <v>42</v>
      </c>
      <c r="J370" s="1" t="s">
        <v>12</v>
      </c>
      <c r="K370" s="1">
        <v>6</v>
      </c>
      <c r="L370">
        <f t="shared" si="10"/>
        <v>5.2830853218279482E-2</v>
      </c>
      <c r="M370">
        <f t="shared" si="11"/>
        <v>52.830853218279479</v>
      </c>
    </row>
    <row r="371" spans="1:13" ht="14.25" customHeight="1" x14ac:dyDescent="0.25">
      <c r="A371" s="1">
        <v>2</v>
      </c>
      <c r="B371" s="1" t="s">
        <v>9</v>
      </c>
      <c r="C371" s="1" t="s">
        <v>49</v>
      </c>
      <c r="D371" s="5">
        <v>45491</v>
      </c>
      <c r="E371" s="7">
        <v>0.686805555555556</v>
      </c>
      <c r="F371" s="1">
        <v>113.57</v>
      </c>
      <c r="G371" s="1">
        <v>2170</v>
      </c>
      <c r="H371" s="1">
        <v>19.11</v>
      </c>
      <c r="I371" s="1" t="s">
        <v>15</v>
      </c>
      <c r="K371" s="1">
        <v>1</v>
      </c>
      <c r="L371">
        <f t="shared" si="10"/>
        <v>8.8051422030465797E-3</v>
      </c>
      <c r="M371">
        <f t="shared" si="11"/>
        <v>8.8051422030465805</v>
      </c>
    </row>
    <row r="372" spans="1:13" ht="14.25" customHeight="1" x14ac:dyDescent="0.25">
      <c r="A372" s="1">
        <v>2</v>
      </c>
      <c r="B372" s="1" t="s">
        <v>9</v>
      </c>
      <c r="C372" s="1" t="s">
        <v>49</v>
      </c>
      <c r="D372" s="5">
        <v>45491</v>
      </c>
      <c r="E372" s="7">
        <v>0.686805555555556</v>
      </c>
      <c r="F372" s="1">
        <v>113.57</v>
      </c>
      <c r="G372" s="1">
        <v>2170</v>
      </c>
      <c r="H372" s="1">
        <v>19.11</v>
      </c>
      <c r="I372" s="1" t="s">
        <v>18</v>
      </c>
      <c r="J372" s="1" t="s">
        <v>13</v>
      </c>
      <c r="K372" s="1">
        <v>1</v>
      </c>
      <c r="L372">
        <f t="shared" si="10"/>
        <v>8.8051422030465797E-3</v>
      </c>
      <c r="M372">
        <f t="shared" si="11"/>
        <v>8.8051422030465805</v>
      </c>
    </row>
    <row r="373" spans="1:13" ht="14.25" customHeight="1" x14ac:dyDescent="0.25">
      <c r="A373" s="1">
        <v>2</v>
      </c>
      <c r="B373" s="1" t="s">
        <v>9</v>
      </c>
      <c r="C373" s="1" t="s">
        <v>49</v>
      </c>
      <c r="D373" s="5">
        <v>45491</v>
      </c>
      <c r="E373" s="7">
        <v>0.686805555555556</v>
      </c>
      <c r="F373" s="1">
        <v>113.57</v>
      </c>
      <c r="G373" s="1">
        <v>2170</v>
      </c>
      <c r="H373" s="1">
        <v>19.11</v>
      </c>
      <c r="I373" s="1" t="s">
        <v>14</v>
      </c>
      <c r="K373" s="1">
        <v>2</v>
      </c>
      <c r="L373">
        <f t="shared" si="10"/>
        <v>1.7610284406093159E-2</v>
      </c>
      <c r="M373">
        <f t="shared" si="11"/>
        <v>17.610284406093161</v>
      </c>
    </row>
    <row r="374" spans="1:13" ht="14.25" customHeight="1" x14ac:dyDescent="0.25">
      <c r="A374" s="1">
        <v>3</v>
      </c>
      <c r="B374" s="1" t="s">
        <v>9</v>
      </c>
      <c r="C374" s="1" t="s">
        <v>49</v>
      </c>
      <c r="D374" s="5">
        <v>45491</v>
      </c>
      <c r="E374" s="7">
        <v>0.686805555555556</v>
      </c>
      <c r="F374" s="1">
        <v>113.57</v>
      </c>
      <c r="G374" s="1">
        <v>2310</v>
      </c>
      <c r="H374" s="1">
        <v>20.34</v>
      </c>
      <c r="I374" s="1" t="s">
        <v>20</v>
      </c>
      <c r="K374" s="1">
        <v>6</v>
      </c>
      <c r="L374">
        <f t="shared" si="10"/>
        <v>5.2830853218279482E-2</v>
      </c>
      <c r="M374">
        <f t="shared" si="11"/>
        <v>52.830853218279479</v>
      </c>
    </row>
    <row r="375" spans="1:13" ht="14.25" customHeight="1" x14ac:dyDescent="0.25">
      <c r="A375" s="1">
        <v>3</v>
      </c>
      <c r="B375" s="1" t="s">
        <v>9</v>
      </c>
      <c r="C375" s="1" t="s">
        <v>49</v>
      </c>
      <c r="D375" s="5">
        <v>45491</v>
      </c>
      <c r="E375" s="7">
        <v>0.686805555555556</v>
      </c>
      <c r="F375" s="1">
        <v>113.57</v>
      </c>
      <c r="G375" s="1">
        <v>2310</v>
      </c>
      <c r="H375" s="1">
        <v>20.34</v>
      </c>
      <c r="I375" s="1" t="s">
        <v>10</v>
      </c>
      <c r="J375" s="1" t="s">
        <v>11</v>
      </c>
      <c r="K375" s="1">
        <v>9</v>
      </c>
      <c r="L375">
        <f t="shared" si="10"/>
        <v>7.9246279827419219E-2</v>
      </c>
      <c r="M375">
        <f t="shared" si="11"/>
        <v>79.246279827419215</v>
      </c>
    </row>
    <row r="376" spans="1:13" ht="14.25" customHeight="1" x14ac:dyDescent="0.25">
      <c r="A376" s="1">
        <v>3</v>
      </c>
      <c r="B376" s="1" t="s">
        <v>9</v>
      </c>
      <c r="C376" s="1" t="s">
        <v>49</v>
      </c>
      <c r="D376" s="5">
        <v>45491</v>
      </c>
      <c r="E376" s="7">
        <v>0.686805555555556</v>
      </c>
      <c r="F376" s="1">
        <v>113.57</v>
      </c>
      <c r="G376" s="1">
        <v>2310</v>
      </c>
      <c r="H376" s="1">
        <v>20.34</v>
      </c>
      <c r="I376" s="1" t="s">
        <v>18</v>
      </c>
      <c r="K376" s="1">
        <v>1</v>
      </c>
      <c r="L376">
        <f t="shared" si="10"/>
        <v>8.8051422030465797E-3</v>
      </c>
      <c r="M376">
        <f t="shared" si="11"/>
        <v>8.8051422030465805</v>
      </c>
    </row>
    <row r="377" spans="1:13" ht="14.25" customHeight="1" x14ac:dyDescent="0.25">
      <c r="A377" s="1">
        <v>3</v>
      </c>
      <c r="B377" s="1" t="s">
        <v>9</v>
      </c>
      <c r="C377" s="1" t="s">
        <v>49</v>
      </c>
      <c r="D377" s="5">
        <v>45491</v>
      </c>
      <c r="E377" s="7">
        <v>0.686805555555556</v>
      </c>
      <c r="F377" s="1">
        <v>113.57</v>
      </c>
      <c r="G377" s="1">
        <v>2310</v>
      </c>
      <c r="H377" s="1">
        <v>20.34</v>
      </c>
      <c r="I377" s="1" t="s">
        <v>42</v>
      </c>
      <c r="J377" s="1" t="s">
        <v>12</v>
      </c>
      <c r="K377" s="1">
        <v>9</v>
      </c>
      <c r="L377">
        <f t="shared" si="10"/>
        <v>7.9246279827419219E-2</v>
      </c>
      <c r="M377">
        <f t="shared" si="11"/>
        <v>79.246279827419215</v>
      </c>
    </row>
    <row r="378" spans="1:13" ht="14.25" customHeight="1" x14ac:dyDescent="0.25">
      <c r="A378" s="1">
        <v>3</v>
      </c>
      <c r="B378" s="1" t="s">
        <v>9</v>
      </c>
      <c r="C378" s="1" t="s">
        <v>49</v>
      </c>
      <c r="D378" s="5">
        <v>45491</v>
      </c>
      <c r="E378" s="7">
        <v>0.686805555555556</v>
      </c>
      <c r="F378" s="1">
        <v>113.57</v>
      </c>
      <c r="G378" s="1">
        <v>2310</v>
      </c>
      <c r="H378" s="1">
        <v>20.34</v>
      </c>
      <c r="I378" s="1" t="s">
        <v>15</v>
      </c>
      <c r="K378" s="1">
        <v>1</v>
      </c>
      <c r="L378">
        <f t="shared" si="10"/>
        <v>8.8051422030465797E-3</v>
      </c>
      <c r="M378">
        <f t="shared" si="11"/>
        <v>8.8051422030465805</v>
      </c>
    </row>
    <row r="379" spans="1:13" ht="14.25" customHeight="1" x14ac:dyDescent="0.25">
      <c r="A379" s="1">
        <v>3</v>
      </c>
      <c r="B379" s="1" t="s">
        <v>9</v>
      </c>
      <c r="C379" s="1" t="s">
        <v>49</v>
      </c>
      <c r="D379" s="5">
        <v>45491</v>
      </c>
      <c r="E379" s="7">
        <v>0.686805555555556</v>
      </c>
      <c r="F379" s="1">
        <v>113.57</v>
      </c>
      <c r="G379" s="1">
        <v>2310</v>
      </c>
      <c r="H379" s="1">
        <v>20.34</v>
      </c>
      <c r="I379" s="1" t="s">
        <v>10</v>
      </c>
      <c r="J379" s="1" t="s">
        <v>13</v>
      </c>
      <c r="K379" s="1">
        <v>7</v>
      </c>
      <c r="L379">
        <f t="shared" si="10"/>
        <v>6.1635995421326056E-2</v>
      </c>
      <c r="M379">
        <f t="shared" si="11"/>
        <v>61.635995421326058</v>
      </c>
    </row>
    <row r="380" spans="1:13" ht="14.25" customHeight="1" x14ac:dyDescent="0.25"/>
    <row r="381" spans="1:13" ht="14.25" customHeight="1" x14ac:dyDescent="0.25"/>
    <row r="382" spans="1:13" ht="14.25" customHeight="1" x14ac:dyDescent="0.25"/>
    <row r="383" spans="1:13" ht="14.25" customHeight="1" x14ac:dyDescent="0.25"/>
    <row r="384" spans="1:13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Khadijah Homolka</cp:lastModifiedBy>
  <dcterms:modified xsi:type="dcterms:W3CDTF">2026-10-07T19:49:49Z</dcterms:modified>
</cp:coreProperties>
</file>