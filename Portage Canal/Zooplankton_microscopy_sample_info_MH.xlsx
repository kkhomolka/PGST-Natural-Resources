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<sst xmlns="http://schemas.openxmlformats.org/spreadsheetml/2006/main" count="140" uniqueCount="19">
  <si>
    <t>Sample #</t>
  </si>
  <si>
    <t>Project</t>
  </si>
  <si>
    <t>Location</t>
  </si>
  <si>
    <t>Date</t>
  </si>
  <si>
    <t>Time</t>
  </si>
  <si>
    <t>Tow Type</t>
  </si>
  <si>
    <t>SOG</t>
  </si>
  <si>
    <t>Flow meter</t>
  </si>
  <si>
    <t>Volume Filtered</t>
  </si>
  <si>
    <t>Fresh Water Dilution</t>
  </si>
  <si>
    <t>Volume Analyzed</t>
  </si>
  <si>
    <t>Plankton Counted</t>
  </si>
  <si>
    <t>Plankton in Sample</t>
  </si>
  <si>
    <t>Environmental Plankton Concentration</t>
  </si>
  <si>
    <t>Kelp</t>
  </si>
  <si>
    <t>NPTC</t>
  </si>
  <si>
    <t>Neuston</t>
  </si>
  <si>
    <t>SPTC</t>
  </si>
  <si>
    <t>SCOB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</si>
</sst>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5" xfId="0" applyFont="1" applyNumberFormat="1"/>
    <xf borderId="0" fillId="0" fontId="2" numFmtId="20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71"/>
    <col customWidth="1" min="2" max="2" width="6.71"/>
    <col customWidth="1" min="3" max="3" width="8.14"/>
    <col customWidth="1" min="4" max="4" width="9.57"/>
    <col customWidth="1" min="5" max="5" width="5.57"/>
    <col customWidth="1" min="6" max="6" width="8.71"/>
    <col customWidth="1" min="7" max="7" width="4.43"/>
    <col customWidth="1" min="8" max="8" width="10.29"/>
    <col customWidth="1" min="9" max="9" width="13.86"/>
    <col customWidth="1" min="10" max="10" width="17.86"/>
    <col customWidth="1" min="11" max="11" width="15.0"/>
    <col customWidth="1" min="12" max="12" width="15.57"/>
    <col customWidth="1" min="13" max="13" width="16.43"/>
    <col customWidth="1" min="14" max="14" width="33.0"/>
    <col customWidth="1" min="15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ht="14.25" customHeight="1">
      <c r="A2" s="1">
        <v>1.0</v>
      </c>
      <c r="B2" s="1" t="s">
        <v>14</v>
      </c>
      <c r="C2" s="1" t="s">
        <v>15</v>
      </c>
      <c r="D2" s="2">
        <v>45498.0</v>
      </c>
      <c r="F2" s="1" t="s">
        <v>16</v>
      </c>
      <c r="G2" s="1">
        <v>0.8</v>
      </c>
      <c r="H2" s="1">
        <v>998.3</v>
      </c>
      <c r="I2" s="1">
        <f t="shared" ref="I2:I43" si="1">H2*0.245*0.5264</f>
        <v>128.7487544</v>
      </c>
      <c r="J2" s="1">
        <v>0.9</v>
      </c>
      <c r="K2" s="1">
        <v>0.01</v>
      </c>
      <c r="L2" s="1">
        <v>80.0</v>
      </c>
      <c r="M2" s="1">
        <f t="shared" ref="M2:M43" si="2">L2/K2*J2</f>
        <v>7200</v>
      </c>
      <c r="N2" s="1">
        <f t="shared" ref="N2:N43" si="3">M2/I2</f>
        <v>55.92287113</v>
      </c>
    </row>
    <row r="3" ht="14.25" customHeight="1">
      <c r="A3" s="1">
        <v>2.0</v>
      </c>
      <c r="B3" s="1" t="s">
        <v>14</v>
      </c>
      <c r="C3" s="1" t="s">
        <v>15</v>
      </c>
      <c r="D3" s="2">
        <v>45498.0</v>
      </c>
      <c r="F3" s="1" t="s">
        <v>16</v>
      </c>
      <c r="G3" s="1">
        <v>0.8</v>
      </c>
      <c r="H3" s="1">
        <v>998.3</v>
      </c>
      <c r="I3" s="1">
        <f t="shared" si="1"/>
        <v>128.7487544</v>
      </c>
      <c r="J3" s="1">
        <v>0.925</v>
      </c>
      <c r="K3" s="1">
        <v>0.01</v>
      </c>
      <c r="L3" s="1">
        <v>82.0</v>
      </c>
      <c r="M3" s="1">
        <f t="shared" si="2"/>
        <v>7585</v>
      </c>
      <c r="N3" s="1">
        <f t="shared" si="3"/>
        <v>58.91319132</v>
      </c>
    </row>
    <row r="4" ht="14.25" customHeight="1">
      <c r="A4" s="1">
        <v>3.0</v>
      </c>
      <c r="B4" s="1" t="s">
        <v>14</v>
      </c>
      <c r="C4" s="1" t="s">
        <v>15</v>
      </c>
      <c r="D4" s="2">
        <v>45498.0</v>
      </c>
      <c r="F4" s="1" t="s">
        <v>16</v>
      </c>
      <c r="G4" s="1">
        <v>0.8</v>
      </c>
      <c r="H4" s="1">
        <v>998.3</v>
      </c>
      <c r="I4" s="1">
        <f t="shared" si="1"/>
        <v>128.7487544</v>
      </c>
      <c r="J4" s="1">
        <v>0.94</v>
      </c>
      <c r="K4" s="1">
        <v>0.01</v>
      </c>
      <c r="L4" s="1">
        <v>86.0</v>
      </c>
      <c r="M4" s="1">
        <f t="shared" si="2"/>
        <v>8084</v>
      </c>
      <c r="N4" s="1">
        <f t="shared" si="3"/>
        <v>62.78895697</v>
      </c>
    </row>
    <row r="5" ht="14.25" customHeight="1">
      <c r="A5" s="1">
        <v>1.0</v>
      </c>
      <c r="B5" s="1" t="s">
        <v>14</v>
      </c>
      <c r="C5" s="1" t="s">
        <v>17</v>
      </c>
      <c r="D5" s="2">
        <v>45498.0</v>
      </c>
      <c r="F5" s="1" t="s">
        <v>16</v>
      </c>
      <c r="H5" s="1">
        <v>1023.7</v>
      </c>
      <c r="I5" s="1">
        <f t="shared" si="1"/>
        <v>132.0245416</v>
      </c>
      <c r="J5" s="1">
        <v>0.45</v>
      </c>
      <c r="K5" s="1">
        <v>0.01</v>
      </c>
      <c r="L5" s="1">
        <v>125.0</v>
      </c>
      <c r="M5" s="1">
        <f t="shared" si="2"/>
        <v>5625</v>
      </c>
      <c r="N5" s="1">
        <f t="shared" si="3"/>
        <v>42.60571506</v>
      </c>
    </row>
    <row r="6" ht="14.25" customHeight="1">
      <c r="A6" s="1">
        <v>2.0</v>
      </c>
      <c r="B6" s="1" t="s">
        <v>14</v>
      </c>
      <c r="C6" s="1" t="s">
        <v>17</v>
      </c>
      <c r="D6" s="2">
        <v>45498.0</v>
      </c>
      <c r="F6" s="1" t="s">
        <v>16</v>
      </c>
      <c r="H6" s="1">
        <v>1023.7</v>
      </c>
      <c r="I6" s="1">
        <f t="shared" si="1"/>
        <v>132.0245416</v>
      </c>
      <c r="J6" s="1">
        <v>0.8</v>
      </c>
      <c r="K6" s="1">
        <v>0.01</v>
      </c>
      <c r="L6" s="1">
        <v>55.0</v>
      </c>
      <c r="M6" s="1">
        <f t="shared" si="2"/>
        <v>4400</v>
      </c>
      <c r="N6" s="1">
        <f t="shared" si="3"/>
        <v>33.32713711</v>
      </c>
    </row>
    <row r="7" ht="14.25" customHeight="1">
      <c r="A7" s="1">
        <v>3.0</v>
      </c>
      <c r="B7" s="1" t="s">
        <v>14</v>
      </c>
      <c r="C7" s="1" t="s">
        <v>17</v>
      </c>
      <c r="D7" s="2">
        <v>45498.0</v>
      </c>
      <c r="F7" s="1" t="s">
        <v>16</v>
      </c>
      <c r="H7" s="1">
        <v>1023.7</v>
      </c>
      <c r="I7" s="1">
        <f t="shared" si="1"/>
        <v>132.0245416</v>
      </c>
      <c r="J7" s="1">
        <v>0.9</v>
      </c>
      <c r="K7" s="1">
        <v>0.01</v>
      </c>
      <c r="L7" s="1">
        <v>60.0</v>
      </c>
      <c r="M7" s="1">
        <f t="shared" si="2"/>
        <v>5400</v>
      </c>
      <c r="N7" s="1">
        <f t="shared" si="3"/>
        <v>40.90148646</v>
      </c>
    </row>
    <row r="8" ht="14.25" customHeight="1">
      <c r="A8" s="1">
        <v>1.0</v>
      </c>
      <c r="B8" s="1" t="s">
        <v>14</v>
      </c>
      <c r="C8" s="1" t="s">
        <v>15</v>
      </c>
      <c r="D8" s="2">
        <v>45520.0</v>
      </c>
      <c r="E8" s="3">
        <v>0.6381944444444444</v>
      </c>
      <c r="F8" s="1" t="s">
        <v>16</v>
      </c>
      <c r="G8" s="1">
        <v>1.0</v>
      </c>
      <c r="H8" s="1">
        <v>988.3</v>
      </c>
      <c r="I8" s="1">
        <f t="shared" si="1"/>
        <v>127.4590744</v>
      </c>
      <c r="J8" s="1">
        <v>0.5</v>
      </c>
      <c r="K8" s="1">
        <v>0.01</v>
      </c>
      <c r="L8" s="1">
        <v>110.0</v>
      </c>
      <c r="M8" s="1">
        <f t="shared" si="2"/>
        <v>5500</v>
      </c>
      <c r="N8" s="1">
        <f t="shared" si="3"/>
        <v>43.15110576</v>
      </c>
    </row>
    <row r="9" ht="14.25" customHeight="1">
      <c r="A9" s="1">
        <v>2.0</v>
      </c>
      <c r="B9" s="1" t="s">
        <v>14</v>
      </c>
      <c r="C9" s="1" t="s">
        <v>15</v>
      </c>
      <c r="D9" s="2">
        <v>45520.0</v>
      </c>
      <c r="E9" s="3">
        <v>0.679861111111111</v>
      </c>
      <c r="F9" s="1" t="s">
        <v>16</v>
      </c>
      <c r="G9" s="1">
        <v>1.0</v>
      </c>
      <c r="H9" s="1">
        <v>988.3</v>
      </c>
      <c r="I9" s="1">
        <f t="shared" si="1"/>
        <v>127.4590744</v>
      </c>
      <c r="J9" s="1">
        <v>0.5</v>
      </c>
      <c r="K9" s="1">
        <v>0.01</v>
      </c>
      <c r="L9" s="1">
        <v>162.0</v>
      </c>
      <c r="M9" s="1">
        <f t="shared" si="2"/>
        <v>8100</v>
      </c>
      <c r="N9" s="1">
        <f t="shared" si="3"/>
        <v>63.54981031</v>
      </c>
    </row>
    <row r="10" ht="14.25" customHeight="1">
      <c r="A10" s="1">
        <v>3.0</v>
      </c>
      <c r="B10" s="1" t="s">
        <v>14</v>
      </c>
      <c r="C10" s="1" t="s">
        <v>15</v>
      </c>
      <c r="D10" s="2">
        <v>45520.0</v>
      </c>
      <c r="E10" s="3">
        <v>0.721527777777778</v>
      </c>
      <c r="F10" s="1" t="s">
        <v>16</v>
      </c>
      <c r="G10" s="1">
        <v>1.0</v>
      </c>
      <c r="H10" s="1">
        <v>988.3</v>
      </c>
      <c r="I10" s="1">
        <f t="shared" si="1"/>
        <v>127.4590744</v>
      </c>
      <c r="J10" s="1">
        <v>0.5</v>
      </c>
      <c r="K10" s="1">
        <v>0.01</v>
      </c>
      <c r="L10" s="1">
        <v>148.0</v>
      </c>
      <c r="M10" s="1">
        <f t="shared" si="2"/>
        <v>7400</v>
      </c>
      <c r="N10" s="1">
        <f t="shared" si="3"/>
        <v>58.05785139</v>
      </c>
    </row>
    <row r="11" ht="14.25" customHeight="1">
      <c r="A11" s="1">
        <v>1.0</v>
      </c>
      <c r="B11" s="1" t="s">
        <v>14</v>
      </c>
      <c r="C11" s="1" t="s">
        <v>17</v>
      </c>
      <c r="D11" s="2">
        <v>45520.0</v>
      </c>
      <c r="E11" s="3">
        <v>0.6006944444444444</v>
      </c>
      <c r="F11" s="1" t="s">
        <v>16</v>
      </c>
      <c r="G11" s="1">
        <v>0.5</v>
      </c>
      <c r="H11" s="1">
        <v>528.9</v>
      </c>
      <c r="I11" s="1">
        <f t="shared" si="1"/>
        <v>68.2111752</v>
      </c>
      <c r="J11" s="1">
        <v>0.4</v>
      </c>
      <c r="K11" s="1">
        <v>0.01</v>
      </c>
      <c r="L11" s="1">
        <v>75.0</v>
      </c>
      <c r="M11" s="1">
        <f t="shared" si="2"/>
        <v>3000</v>
      </c>
      <c r="N11" s="1">
        <f t="shared" si="3"/>
        <v>43.98106309</v>
      </c>
    </row>
    <row r="12" ht="14.25" customHeight="1">
      <c r="A12" s="1">
        <v>2.0</v>
      </c>
      <c r="B12" s="1" t="s">
        <v>14</v>
      </c>
      <c r="C12" s="1" t="s">
        <v>17</v>
      </c>
      <c r="D12" s="2">
        <v>45520.0</v>
      </c>
      <c r="E12" s="3">
        <v>0.6006944444444444</v>
      </c>
      <c r="F12" s="1" t="s">
        <v>16</v>
      </c>
      <c r="G12" s="1">
        <v>0.5</v>
      </c>
      <c r="H12" s="1">
        <v>528.9</v>
      </c>
      <c r="I12" s="1">
        <f t="shared" si="1"/>
        <v>68.2111752</v>
      </c>
      <c r="J12" s="1">
        <v>0.4</v>
      </c>
      <c r="K12" s="1">
        <v>0.01</v>
      </c>
      <c r="L12" s="1">
        <v>63.0</v>
      </c>
      <c r="M12" s="1">
        <f t="shared" si="2"/>
        <v>2520</v>
      </c>
      <c r="N12" s="1">
        <f t="shared" si="3"/>
        <v>36.944093</v>
      </c>
    </row>
    <row r="13" ht="14.25" customHeight="1">
      <c r="A13" s="1">
        <v>3.0</v>
      </c>
      <c r="B13" s="1" t="s">
        <v>14</v>
      </c>
      <c r="C13" s="1" t="s">
        <v>17</v>
      </c>
      <c r="D13" s="2">
        <v>45520.0</v>
      </c>
      <c r="E13" s="3">
        <v>0.6006944444444444</v>
      </c>
      <c r="F13" s="1" t="s">
        <v>16</v>
      </c>
      <c r="G13" s="1">
        <v>0.5</v>
      </c>
      <c r="H13" s="1">
        <v>528.9</v>
      </c>
      <c r="I13" s="1">
        <f t="shared" si="1"/>
        <v>68.2111752</v>
      </c>
      <c r="J13" s="1">
        <v>0.4</v>
      </c>
      <c r="K13" s="1">
        <v>0.01</v>
      </c>
      <c r="L13" s="1">
        <v>72.0</v>
      </c>
      <c r="M13" s="1">
        <f t="shared" si="2"/>
        <v>2880</v>
      </c>
      <c r="N13" s="1">
        <f t="shared" si="3"/>
        <v>42.22182057</v>
      </c>
    </row>
    <row r="14" ht="14.25" customHeight="1">
      <c r="A14" s="1">
        <v>1.0</v>
      </c>
      <c r="B14" s="1" t="s">
        <v>14</v>
      </c>
      <c r="C14" s="1" t="s">
        <v>15</v>
      </c>
      <c r="D14" s="2">
        <v>45534.0</v>
      </c>
      <c r="E14" s="3">
        <v>0.5409722222222222</v>
      </c>
      <c r="F14" s="1" t="s">
        <v>16</v>
      </c>
      <c r="G14" s="1">
        <v>2.0</v>
      </c>
      <c r="H14" s="1">
        <v>1064.0</v>
      </c>
      <c r="I14" s="1">
        <f t="shared" si="1"/>
        <v>137.221952</v>
      </c>
      <c r="J14" s="1">
        <v>0.5</v>
      </c>
      <c r="K14" s="1">
        <v>0.01</v>
      </c>
      <c r="L14" s="1">
        <v>78.0</v>
      </c>
      <c r="M14" s="1">
        <f t="shared" si="2"/>
        <v>3900</v>
      </c>
      <c r="N14" s="1">
        <f t="shared" si="3"/>
        <v>28.4211086</v>
      </c>
    </row>
    <row r="15" ht="14.25" customHeight="1">
      <c r="A15" s="1">
        <v>2.0</v>
      </c>
      <c r="B15" s="1" t="s">
        <v>14</v>
      </c>
      <c r="C15" s="1" t="s">
        <v>15</v>
      </c>
      <c r="D15" s="2">
        <v>45534.0</v>
      </c>
      <c r="E15" s="3">
        <v>0.5409722222222222</v>
      </c>
      <c r="F15" s="1" t="s">
        <v>16</v>
      </c>
      <c r="G15" s="1">
        <v>2.0</v>
      </c>
      <c r="H15" s="1">
        <v>1064.0</v>
      </c>
      <c r="I15" s="1">
        <f t="shared" si="1"/>
        <v>137.221952</v>
      </c>
      <c r="J15" s="1">
        <v>0.5</v>
      </c>
      <c r="K15" s="1">
        <v>0.01</v>
      </c>
      <c r="L15" s="1">
        <v>88.0</v>
      </c>
      <c r="M15" s="1">
        <f t="shared" si="2"/>
        <v>4400</v>
      </c>
      <c r="N15" s="1">
        <f t="shared" si="3"/>
        <v>32.06484047</v>
      </c>
    </row>
    <row r="16" ht="14.25" customHeight="1">
      <c r="A16" s="1">
        <v>3.0</v>
      </c>
      <c r="B16" s="1" t="s">
        <v>14</v>
      </c>
      <c r="C16" s="1" t="s">
        <v>15</v>
      </c>
      <c r="D16" s="2">
        <v>45534.0</v>
      </c>
      <c r="E16" s="3">
        <v>0.5409722222222222</v>
      </c>
      <c r="F16" s="1" t="s">
        <v>16</v>
      </c>
      <c r="G16" s="1">
        <v>2.0</v>
      </c>
      <c r="H16" s="1">
        <v>1064.0</v>
      </c>
      <c r="I16" s="1">
        <f t="shared" si="1"/>
        <v>137.221952</v>
      </c>
      <c r="J16" s="1">
        <v>0.5</v>
      </c>
      <c r="K16" s="1">
        <v>0.01</v>
      </c>
      <c r="L16" s="1">
        <v>89.0</v>
      </c>
      <c r="M16" s="1">
        <f t="shared" si="2"/>
        <v>4450</v>
      </c>
      <c r="N16" s="1">
        <f t="shared" si="3"/>
        <v>32.42921366</v>
      </c>
    </row>
    <row r="17" ht="14.25" customHeight="1">
      <c r="A17" s="1">
        <v>1.0</v>
      </c>
      <c r="B17" s="1" t="s">
        <v>14</v>
      </c>
      <c r="C17" s="1" t="s">
        <v>18</v>
      </c>
      <c r="D17" s="2">
        <v>45534.0</v>
      </c>
      <c r="E17" s="3">
        <v>0.47430555555555554</v>
      </c>
      <c r="F17" s="1" t="s">
        <v>16</v>
      </c>
      <c r="G17" s="1">
        <v>0.3</v>
      </c>
      <c r="H17" s="1">
        <v>1044.5</v>
      </c>
      <c r="I17" s="1">
        <f t="shared" si="1"/>
        <v>134.707076</v>
      </c>
      <c r="J17" s="1">
        <v>0.3</v>
      </c>
      <c r="K17" s="1">
        <v>0.01</v>
      </c>
      <c r="L17" s="1">
        <v>215.0</v>
      </c>
      <c r="M17" s="1">
        <f t="shared" si="2"/>
        <v>6450</v>
      </c>
      <c r="N17" s="1">
        <f t="shared" si="3"/>
        <v>47.88167178</v>
      </c>
    </row>
    <row r="18" ht="14.25" customHeight="1">
      <c r="A18" s="1">
        <v>2.0</v>
      </c>
      <c r="B18" s="1" t="s">
        <v>14</v>
      </c>
      <c r="C18" s="1" t="s">
        <v>18</v>
      </c>
      <c r="D18" s="2">
        <v>45534.0</v>
      </c>
      <c r="E18" s="3">
        <v>0.47430555555555554</v>
      </c>
      <c r="F18" s="1" t="s">
        <v>16</v>
      </c>
      <c r="G18" s="1">
        <v>0.3</v>
      </c>
      <c r="H18" s="1">
        <v>1044.5</v>
      </c>
      <c r="I18" s="1">
        <f t="shared" si="1"/>
        <v>134.707076</v>
      </c>
      <c r="J18" s="1">
        <v>0.5</v>
      </c>
      <c r="K18" s="1">
        <v>0.01</v>
      </c>
      <c r="L18" s="1">
        <v>154.0</v>
      </c>
      <c r="M18" s="1">
        <f t="shared" si="2"/>
        <v>7700</v>
      </c>
      <c r="N18" s="1">
        <f t="shared" si="3"/>
        <v>57.16106554</v>
      </c>
    </row>
    <row r="19" ht="14.25" customHeight="1">
      <c r="A19" s="1">
        <v>3.0</v>
      </c>
      <c r="B19" s="1" t="s">
        <v>14</v>
      </c>
      <c r="C19" s="1" t="s">
        <v>18</v>
      </c>
      <c r="D19" s="2">
        <v>45534.0</v>
      </c>
      <c r="E19" s="3">
        <v>0.47430555555555554</v>
      </c>
      <c r="F19" s="1" t="s">
        <v>16</v>
      </c>
      <c r="G19" s="1">
        <v>0.3</v>
      </c>
      <c r="H19" s="1">
        <v>1044.5</v>
      </c>
      <c r="I19" s="1">
        <f t="shared" si="1"/>
        <v>134.707076</v>
      </c>
      <c r="J19" s="1">
        <v>0.5</v>
      </c>
      <c r="K19" s="1">
        <v>0.01</v>
      </c>
      <c r="L19" s="1">
        <v>120.0</v>
      </c>
      <c r="M19" s="1">
        <f t="shared" si="2"/>
        <v>6000</v>
      </c>
      <c r="N19" s="1">
        <f t="shared" si="3"/>
        <v>44.54109003</v>
      </c>
    </row>
    <row r="20" ht="14.25" customHeight="1">
      <c r="A20" s="1">
        <v>1.0</v>
      </c>
      <c r="B20" s="1" t="s">
        <v>14</v>
      </c>
      <c r="C20" s="1" t="s">
        <v>15</v>
      </c>
      <c r="D20" s="2">
        <v>45546.0</v>
      </c>
      <c r="E20" s="3">
        <v>0.6659722222222222</v>
      </c>
      <c r="F20" s="1" t="s">
        <v>16</v>
      </c>
      <c r="G20" s="1">
        <v>1.5</v>
      </c>
      <c r="H20" s="1">
        <v>1122.6</v>
      </c>
      <c r="I20" s="1">
        <f t="shared" si="1"/>
        <v>144.7794768</v>
      </c>
      <c r="J20" s="1">
        <v>0.4</v>
      </c>
      <c r="K20" s="1">
        <v>0.01</v>
      </c>
      <c r="L20" s="1">
        <v>48.0</v>
      </c>
      <c r="M20" s="1">
        <f t="shared" si="2"/>
        <v>1920</v>
      </c>
      <c r="N20" s="1">
        <f t="shared" si="3"/>
        <v>13.26154813</v>
      </c>
    </row>
    <row r="21" ht="14.25" customHeight="1">
      <c r="A21" s="1">
        <v>2.0</v>
      </c>
      <c r="B21" s="1" t="s">
        <v>14</v>
      </c>
      <c r="C21" s="1" t="s">
        <v>15</v>
      </c>
      <c r="D21" s="2">
        <v>45546.0</v>
      </c>
      <c r="E21" s="3">
        <v>0.6659722222222222</v>
      </c>
      <c r="F21" s="1" t="s">
        <v>16</v>
      </c>
      <c r="G21" s="1">
        <v>1.5</v>
      </c>
      <c r="H21" s="1">
        <v>1122.6</v>
      </c>
      <c r="I21" s="1">
        <f t="shared" si="1"/>
        <v>144.7794768</v>
      </c>
      <c r="J21" s="1">
        <v>0.4</v>
      </c>
      <c r="K21" s="1">
        <v>0.01</v>
      </c>
      <c r="L21" s="1">
        <v>59.0</v>
      </c>
      <c r="M21" s="1">
        <f t="shared" si="2"/>
        <v>2360</v>
      </c>
      <c r="N21" s="1">
        <f t="shared" si="3"/>
        <v>16.30065291</v>
      </c>
    </row>
    <row r="22" ht="14.25" customHeight="1">
      <c r="A22" s="1">
        <v>3.0</v>
      </c>
      <c r="B22" s="1" t="s">
        <v>14</v>
      </c>
      <c r="C22" s="1" t="s">
        <v>15</v>
      </c>
      <c r="D22" s="2">
        <v>45546.0</v>
      </c>
      <c r="E22" s="3">
        <v>0.6659722222222222</v>
      </c>
      <c r="F22" s="1" t="s">
        <v>16</v>
      </c>
      <c r="G22" s="1">
        <v>1.5</v>
      </c>
      <c r="H22" s="1">
        <v>1122.6</v>
      </c>
      <c r="I22" s="1">
        <f t="shared" si="1"/>
        <v>144.7794768</v>
      </c>
      <c r="J22" s="1">
        <v>0.4</v>
      </c>
      <c r="K22" s="1">
        <v>0.01</v>
      </c>
      <c r="L22" s="1">
        <v>46.0</v>
      </c>
      <c r="M22" s="1">
        <f t="shared" si="2"/>
        <v>1840</v>
      </c>
      <c r="N22" s="1">
        <f t="shared" si="3"/>
        <v>12.70898363</v>
      </c>
    </row>
    <row r="23" ht="14.25" customHeight="1">
      <c r="A23" s="1">
        <v>1.0</v>
      </c>
      <c r="B23" s="1" t="s">
        <v>14</v>
      </c>
      <c r="C23" s="1" t="s">
        <v>18</v>
      </c>
      <c r="D23" s="2">
        <v>45546.0</v>
      </c>
      <c r="F23" s="1" t="s">
        <v>16</v>
      </c>
      <c r="G23" s="1">
        <v>1.5</v>
      </c>
      <c r="H23" s="1">
        <v>1027.1</v>
      </c>
      <c r="I23" s="1">
        <f t="shared" si="1"/>
        <v>132.4630328</v>
      </c>
      <c r="J23" s="1">
        <v>0.12</v>
      </c>
      <c r="K23" s="1">
        <v>0.01</v>
      </c>
      <c r="L23" s="1">
        <v>40.0</v>
      </c>
      <c r="M23" s="1">
        <f t="shared" si="2"/>
        <v>480</v>
      </c>
      <c r="N23" s="1">
        <f t="shared" si="3"/>
        <v>3.6236525</v>
      </c>
    </row>
    <row r="24" ht="14.25" customHeight="1">
      <c r="A24" s="1">
        <v>2.0</v>
      </c>
      <c r="B24" s="1" t="s">
        <v>14</v>
      </c>
      <c r="C24" s="1" t="s">
        <v>18</v>
      </c>
      <c r="D24" s="2">
        <v>45546.0</v>
      </c>
      <c r="F24" s="1" t="s">
        <v>16</v>
      </c>
      <c r="G24" s="1">
        <v>1.5</v>
      </c>
      <c r="H24" s="1">
        <v>1027.1</v>
      </c>
      <c r="I24" s="1">
        <f t="shared" si="1"/>
        <v>132.4630328</v>
      </c>
      <c r="J24" s="1">
        <v>0.12</v>
      </c>
      <c r="K24" s="1">
        <v>0.01</v>
      </c>
      <c r="L24" s="1">
        <v>63.0</v>
      </c>
      <c r="M24" s="1">
        <f t="shared" si="2"/>
        <v>756</v>
      </c>
      <c r="N24" s="1">
        <f t="shared" si="3"/>
        <v>5.707252688</v>
      </c>
    </row>
    <row r="25" ht="14.25" customHeight="1">
      <c r="A25" s="1">
        <v>3.0</v>
      </c>
      <c r="B25" s="1" t="s">
        <v>14</v>
      </c>
      <c r="C25" s="1" t="s">
        <v>18</v>
      </c>
      <c r="D25" s="2">
        <v>45546.0</v>
      </c>
      <c r="F25" s="1" t="s">
        <v>16</v>
      </c>
      <c r="G25" s="1">
        <v>1.5</v>
      </c>
      <c r="H25" s="1">
        <v>1027.1</v>
      </c>
      <c r="I25" s="1">
        <f t="shared" si="1"/>
        <v>132.4630328</v>
      </c>
      <c r="J25" s="1">
        <v>0.12</v>
      </c>
      <c r="K25" s="1">
        <v>0.01</v>
      </c>
      <c r="L25" s="1">
        <v>49.0</v>
      </c>
      <c r="M25" s="1">
        <f t="shared" si="2"/>
        <v>588</v>
      </c>
      <c r="N25" s="1">
        <f t="shared" si="3"/>
        <v>4.438974313</v>
      </c>
    </row>
    <row r="26" ht="14.25" customHeight="1">
      <c r="A26" s="1">
        <v>1.0</v>
      </c>
      <c r="B26" s="1" t="s">
        <v>14</v>
      </c>
      <c r="C26" s="1" t="s">
        <v>15</v>
      </c>
      <c r="D26" s="2">
        <v>45561.0</v>
      </c>
      <c r="E26" s="3">
        <v>0.5513888888888889</v>
      </c>
      <c r="F26" s="1" t="s">
        <v>16</v>
      </c>
      <c r="G26" s="1">
        <v>0.5</v>
      </c>
      <c r="H26" s="1">
        <v>1014.3</v>
      </c>
      <c r="I26" s="1">
        <f t="shared" si="1"/>
        <v>130.8122424</v>
      </c>
      <c r="J26" s="1">
        <v>0.8</v>
      </c>
      <c r="K26" s="1">
        <v>0.01</v>
      </c>
      <c r="L26" s="1">
        <v>27.0</v>
      </c>
      <c r="M26" s="1">
        <f t="shared" si="2"/>
        <v>2160</v>
      </c>
      <c r="N26" s="1">
        <f t="shared" si="3"/>
        <v>16.51221599</v>
      </c>
    </row>
    <row r="27" ht="14.25" customHeight="1">
      <c r="A27" s="1">
        <v>2.0</v>
      </c>
      <c r="B27" s="1" t="s">
        <v>14</v>
      </c>
      <c r="C27" s="1" t="s">
        <v>15</v>
      </c>
      <c r="D27" s="2">
        <v>45561.0</v>
      </c>
      <c r="E27" s="3">
        <v>0.5513888888888889</v>
      </c>
      <c r="F27" s="1" t="s">
        <v>16</v>
      </c>
      <c r="G27" s="1">
        <v>0.5</v>
      </c>
      <c r="H27" s="1">
        <v>1014.3</v>
      </c>
      <c r="I27" s="1">
        <f t="shared" si="1"/>
        <v>130.8122424</v>
      </c>
      <c r="J27" s="1">
        <v>0.8</v>
      </c>
      <c r="K27" s="1">
        <v>0.01</v>
      </c>
      <c r="L27" s="1">
        <v>20.0</v>
      </c>
      <c r="M27" s="1">
        <f t="shared" si="2"/>
        <v>1600</v>
      </c>
      <c r="N27" s="1">
        <f t="shared" si="3"/>
        <v>12.2312711</v>
      </c>
    </row>
    <row r="28" ht="14.25" customHeight="1">
      <c r="A28" s="1">
        <v>3.0</v>
      </c>
      <c r="B28" s="1" t="s">
        <v>14</v>
      </c>
      <c r="C28" s="1" t="s">
        <v>15</v>
      </c>
      <c r="D28" s="2">
        <v>45561.0</v>
      </c>
      <c r="E28" s="3">
        <v>0.5513888888888889</v>
      </c>
      <c r="F28" s="1" t="s">
        <v>16</v>
      </c>
      <c r="G28" s="1">
        <v>0.5</v>
      </c>
      <c r="H28" s="1">
        <v>1014.3</v>
      </c>
      <c r="I28" s="1">
        <f t="shared" si="1"/>
        <v>130.8122424</v>
      </c>
      <c r="J28" s="1">
        <v>0.8</v>
      </c>
      <c r="K28" s="1">
        <v>0.01</v>
      </c>
      <c r="L28" s="1">
        <v>25.0</v>
      </c>
      <c r="M28" s="1">
        <f t="shared" si="2"/>
        <v>2000</v>
      </c>
      <c r="N28" s="1">
        <f t="shared" si="3"/>
        <v>15.28908888</v>
      </c>
    </row>
    <row r="29" ht="14.25" customHeight="1">
      <c r="A29" s="1">
        <v>1.0</v>
      </c>
      <c r="B29" s="1" t="s">
        <v>14</v>
      </c>
      <c r="C29" s="1" t="s">
        <v>18</v>
      </c>
      <c r="D29" s="2">
        <v>45561.0</v>
      </c>
      <c r="F29" s="1" t="s">
        <v>16</v>
      </c>
      <c r="G29" s="1">
        <v>0.4</v>
      </c>
      <c r="H29" s="1">
        <v>1187.0</v>
      </c>
      <c r="I29" s="1">
        <f t="shared" si="1"/>
        <v>153.085016</v>
      </c>
      <c r="J29" s="1">
        <v>0.375</v>
      </c>
      <c r="K29" s="1">
        <v>0.01</v>
      </c>
      <c r="L29" s="1">
        <v>42.0</v>
      </c>
      <c r="M29" s="1">
        <f t="shared" si="2"/>
        <v>1575</v>
      </c>
      <c r="N29" s="1">
        <f t="shared" si="3"/>
        <v>10.28840079</v>
      </c>
    </row>
    <row r="30" ht="14.25" customHeight="1">
      <c r="A30" s="1">
        <v>2.0</v>
      </c>
      <c r="B30" s="1" t="s">
        <v>14</v>
      </c>
      <c r="C30" s="1" t="s">
        <v>18</v>
      </c>
      <c r="D30" s="2">
        <v>45561.0</v>
      </c>
      <c r="F30" s="1" t="s">
        <v>16</v>
      </c>
      <c r="G30" s="1">
        <v>0.4</v>
      </c>
      <c r="H30" s="1">
        <v>1187.0</v>
      </c>
      <c r="I30" s="1">
        <f t="shared" si="1"/>
        <v>153.085016</v>
      </c>
      <c r="J30" s="1">
        <v>0.375</v>
      </c>
      <c r="K30" s="1">
        <v>0.01</v>
      </c>
      <c r="L30" s="1">
        <v>32.0</v>
      </c>
      <c r="M30" s="1">
        <f t="shared" si="2"/>
        <v>1200</v>
      </c>
      <c r="N30" s="1">
        <f t="shared" si="3"/>
        <v>7.838781557</v>
      </c>
    </row>
    <row r="31" ht="14.25" customHeight="1">
      <c r="A31" s="1">
        <v>3.0</v>
      </c>
      <c r="B31" s="1" t="s">
        <v>14</v>
      </c>
      <c r="C31" s="1" t="s">
        <v>18</v>
      </c>
      <c r="D31" s="2">
        <v>45561.0</v>
      </c>
      <c r="F31" s="1" t="s">
        <v>16</v>
      </c>
      <c r="G31" s="1">
        <v>0.4</v>
      </c>
      <c r="H31" s="1">
        <v>1187.0</v>
      </c>
      <c r="I31" s="1">
        <f t="shared" si="1"/>
        <v>153.085016</v>
      </c>
      <c r="J31" s="1">
        <v>0.375</v>
      </c>
      <c r="K31" s="1">
        <v>0.01</v>
      </c>
      <c r="L31" s="1">
        <v>41.0</v>
      </c>
      <c r="M31" s="1">
        <f t="shared" si="2"/>
        <v>1537.5</v>
      </c>
      <c r="N31" s="1">
        <f t="shared" si="3"/>
        <v>10.04343887</v>
      </c>
    </row>
    <row r="32" ht="14.25" customHeight="1">
      <c r="A32" s="1">
        <v>1.0</v>
      </c>
      <c r="B32" s="1" t="s">
        <v>14</v>
      </c>
      <c r="C32" s="1" t="s">
        <v>15</v>
      </c>
      <c r="D32" s="2">
        <v>45574.0</v>
      </c>
      <c r="E32" s="3">
        <v>0.5340277777777778</v>
      </c>
      <c r="F32" s="1" t="s">
        <v>16</v>
      </c>
      <c r="G32" s="1">
        <v>1.4</v>
      </c>
      <c r="H32" s="1">
        <v>974.4</v>
      </c>
      <c r="I32" s="1">
        <f t="shared" si="1"/>
        <v>125.6664192</v>
      </c>
      <c r="J32" s="1">
        <v>0.8</v>
      </c>
      <c r="K32" s="1">
        <v>0.01</v>
      </c>
      <c r="L32" s="1">
        <v>46.0</v>
      </c>
      <c r="M32" s="1">
        <f t="shared" si="2"/>
        <v>3680</v>
      </c>
      <c r="N32" s="1">
        <f t="shared" si="3"/>
        <v>29.2838773</v>
      </c>
    </row>
    <row r="33" ht="14.25" customHeight="1">
      <c r="A33" s="1">
        <v>2.0</v>
      </c>
      <c r="B33" s="1" t="s">
        <v>14</v>
      </c>
      <c r="C33" s="1" t="s">
        <v>15</v>
      </c>
      <c r="D33" s="2">
        <v>45574.0</v>
      </c>
      <c r="E33" s="3">
        <v>0.5340277777777778</v>
      </c>
      <c r="F33" s="1" t="s">
        <v>16</v>
      </c>
      <c r="G33" s="1">
        <v>1.4</v>
      </c>
      <c r="H33" s="1">
        <v>974.4</v>
      </c>
      <c r="I33" s="1">
        <f t="shared" si="1"/>
        <v>125.6664192</v>
      </c>
      <c r="J33" s="1">
        <v>0.8</v>
      </c>
      <c r="K33" s="1">
        <v>0.01</v>
      </c>
      <c r="L33" s="1">
        <v>50.0</v>
      </c>
      <c r="M33" s="1">
        <f t="shared" si="2"/>
        <v>4000</v>
      </c>
      <c r="N33" s="1">
        <f t="shared" si="3"/>
        <v>31.83030141</v>
      </c>
    </row>
    <row r="34" ht="14.25" customHeight="1">
      <c r="A34" s="1">
        <v>3.0</v>
      </c>
      <c r="B34" s="1" t="s">
        <v>14</v>
      </c>
      <c r="C34" s="1" t="s">
        <v>15</v>
      </c>
      <c r="D34" s="2">
        <v>45574.0</v>
      </c>
      <c r="E34" s="3">
        <v>0.5340277777777778</v>
      </c>
      <c r="F34" s="1" t="s">
        <v>16</v>
      </c>
      <c r="G34" s="1">
        <v>1.4</v>
      </c>
      <c r="H34" s="1">
        <v>974.4</v>
      </c>
      <c r="I34" s="1">
        <f t="shared" si="1"/>
        <v>125.6664192</v>
      </c>
      <c r="J34" s="1">
        <v>0.8</v>
      </c>
      <c r="K34" s="1">
        <v>0.01</v>
      </c>
      <c r="L34" s="1">
        <v>57.0</v>
      </c>
      <c r="M34" s="1">
        <f t="shared" si="2"/>
        <v>4560</v>
      </c>
      <c r="N34" s="1">
        <f t="shared" si="3"/>
        <v>36.28654361</v>
      </c>
    </row>
    <row r="35" ht="14.25" customHeight="1">
      <c r="A35" s="1">
        <v>1.0</v>
      </c>
      <c r="B35" s="1" t="s">
        <v>14</v>
      </c>
      <c r="C35" s="1" t="s">
        <v>18</v>
      </c>
      <c r="D35" s="2">
        <v>45574.0</v>
      </c>
      <c r="E35" s="3">
        <v>0.5</v>
      </c>
      <c r="F35" s="1" t="s">
        <v>16</v>
      </c>
      <c r="G35" s="1">
        <v>1.1</v>
      </c>
      <c r="H35" s="1">
        <v>1023.4</v>
      </c>
      <c r="I35" s="1">
        <f t="shared" si="1"/>
        <v>131.9858512</v>
      </c>
      <c r="J35" s="1">
        <v>0.3</v>
      </c>
      <c r="K35" s="1">
        <v>0.01</v>
      </c>
      <c r="L35" s="1">
        <v>69.0</v>
      </c>
      <c r="M35" s="1">
        <f t="shared" si="2"/>
        <v>2070</v>
      </c>
      <c r="N35" s="1">
        <f t="shared" si="3"/>
        <v>15.68349926</v>
      </c>
    </row>
    <row r="36" ht="14.25" customHeight="1">
      <c r="A36" s="1">
        <v>2.0</v>
      </c>
      <c r="B36" s="1" t="s">
        <v>14</v>
      </c>
      <c r="C36" s="1" t="s">
        <v>18</v>
      </c>
      <c r="D36" s="2">
        <v>45574.0</v>
      </c>
      <c r="E36" s="3">
        <v>0.5</v>
      </c>
      <c r="F36" s="1" t="s">
        <v>16</v>
      </c>
      <c r="G36" s="1">
        <v>1.1</v>
      </c>
      <c r="H36" s="1">
        <v>1023.4</v>
      </c>
      <c r="I36" s="1">
        <f t="shared" si="1"/>
        <v>131.9858512</v>
      </c>
      <c r="J36" s="1">
        <v>0.3</v>
      </c>
      <c r="K36" s="1">
        <v>0.01</v>
      </c>
      <c r="L36" s="1">
        <v>45.0</v>
      </c>
      <c r="M36" s="1">
        <f t="shared" si="2"/>
        <v>1350</v>
      </c>
      <c r="N36" s="1">
        <f t="shared" si="3"/>
        <v>10.22836908</v>
      </c>
    </row>
    <row r="37" ht="14.25" customHeight="1">
      <c r="A37" s="1">
        <v>3.0</v>
      </c>
      <c r="B37" s="1" t="s">
        <v>14</v>
      </c>
      <c r="C37" s="1" t="s">
        <v>18</v>
      </c>
      <c r="D37" s="2">
        <v>45574.0</v>
      </c>
      <c r="E37" s="3">
        <v>0.5</v>
      </c>
      <c r="F37" s="1" t="s">
        <v>16</v>
      </c>
      <c r="G37" s="1">
        <v>1.1</v>
      </c>
      <c r="H37" s="1">
        <v>1023.4</v>
      </c>
      <c r="I37" s="1">
        <f t="shared" si="1"/>
        <v>131.9858512</v>
      </c>
      <c r="J37" s="1">
        <v>0.3</v>
      </c>
      <c r="K37" s="1">
        <v>0.01</v>
      </c>
      <c r="L37" s="1">
        <v>62.0</v>
      </c>
      <c r="M37" s="1">
        <f t="shared" si="2"/>
        <v>1860</v>
      </c>
      <c r="N37" s="1">
        <f t="shared" si="3"/>
        <v>14.09241963</v>
      </c>
    </row>
    <row r="38" ht="14.25" customHeight="1">
      <c r="A38" s="1">
        <v>1.0</v>
      </c>
      <c r="B38" s="1" t="s">
        <v>14</v>
      </c>
      <c r="C38" s="1" t="s">
        <v>18</v>
      </c>
      <c r="D38" s="2">
        <v>45491.0</v>
      </c>
      <c r="F38" s="1" t="s">
        <v>16</v>
      </c>
      <c r="G38" s="1">
        <v>0.2</v>
      </c>
      <c r="H38" s="1">
        <v>880.6</v>
      </c>
      <c r="I38" s="1">
        <f t="shared" si="1"/>
        <v>113.5692208</v>
      </c>
      <c r="J38" s="1">
        <v>0.7</v>
      </c>
      <c r="K38" s="1">
        <v>0.01</v>
      </c>
      <c r="L38" s="1">
        <v>31.0</v>
      </c>
      <c r="M38" s="1">
        <f t="shared" si="2"/>
        <v>2170</v>
      </c>
      <c r="N38" s="1">
        <f t="shared" si="3"/>
        <v>19.10728968</v>
      </c>
    </row>
    <row r="39" ht="14.25" customHeight="1">
      <c r="A39" s="1">
        <v>2.0</v>
      </c>
      <c r="B39" s="1" t="s">
        <v>14</v>
      </c>
      <c r="C39" s="1" t="s">
        <v>18</v>
      </c>
      <c r="D39" s="2">
        <v>45491.0</v>
      </c>
      <c r="F39" s="1" t="s">
        <v>16</v>
      </c>
      <c r="G39" s="1">
        <v>0.2</v>
      </c>
      <c r="H39" s="1">
        <v>880.6</v>
      </c>
      <c r="I39" s="1">
        <f t="shared" si="1"/>
        <v>113.5692208</v>
      </c>
      <c r="J39" s="1">
        <v>0.7</v>
      </c>
      <c r="K39" s="1">
        <v>0.01</v>
      </c>
      <c r="L39" s="1">
        <v>31.0</v>
      </c>
      <c r="M39" s="1">
        <f t="shared" si="2"/>
        <v>2170</v>
      </c>
      <c r="N39" s="1">
        <f t="shared" si="3"/>
        <v>19.10728968</v>
      </c>
    </row>
    <row r="40" ht="14.25" customHeight="1">
      <c r="A40" s="1">
        <v>3.0</v>
      </c>
      <c r="B40" s="1" t="s">
        <v>14</v>
      </c>
      <c r="C40" s="1" t="s">
        <v>18</v>
      </c>
      <c r="D40" s="2">
        <v>45491.0</v>
      </c>
      <c r="F40" s="1" t="s">
        <v>16</v>
      </c>
      <c r="G40" s="1">
        <v>0.2</v>
      </c>
      <c r="H40" s="1">
        <v>880.6</v>
      </c>
      <c r="I40" s="1">
        <f t="shared" si="1"/>
        <v>113.5692208</v>
      </c>
      <c r="J40" s="1">
        <v>0.7</v>
      </c>
      <c r="K40" s="1">
        <v>0.01</v>
      </c>
      <c r="L40" s="1">
        <v>33.0</v>
      </c>
      <c r="M40" s="1">
        <f t="shared" si="2"/>
        <v>2310</v>
      </c>
      <c r="N40" s="1">
        <f t="shared" si="3"/>
        <v>20.34001804</v>
      </c>
    </row>
    <row r="41" ht="14.25" customHeight="1">
      <c r="A41" s="1">
        <v>1.0</v>
      </c>
      <c r="B41" s="1" t="s">
        <v>14</v>
      </c>
      <c r="C41" s="1" t="s">
        <v>15</v>
      </c>
      <c r="D41" s="2">
        <v>45491.0</v>
      </c>
      <c r="F41" s="1" t="s">
        <v>16</v>
      </c>
      <c r="G41" s="1">
        <v>0.2</v>
      </c>
      <c r="H41" s="1">
        <v>540.5</v>
      </c>
      <c r="I41" s="1">
        <f t="shared" si="1"/>
        <v>69.707204</v>
      </c>
      <c r="J41" s="1">
        <v>0.5</v>
      </c>
      <c r="K41" s="1">
        <v>0.01</v>
      </c>
      <c r="L41" s="1">
        <v>100.0</v>
      </c>
      <c r="M41" s="1">
        <f t="shared" si="2"/>
        <v>5000</v>
      </c>
      <c r="N41" s="1">
        <f t="shared" si="3"/>
        <v>71.72859781</v>
      </c>
    </row>
    <row r="42" ht="14.25" customHeight="1">
      <c r="A42" s="1">
        <v>2.0</v>
      </c>
      <c r="B42" s="1" t="s">
        <v>14</v>
      </c>
      <c r="C42" s="1" t="s">
        <v>15</v>
      </c>
      <c r="D42" s="2">
        <v>45491.0</v>
      </c>
      <c r="F42" s="1" t="s">
        <v>16</v>
      </c>
      <c r="G42" s="1">
        <v>0.2</v>
      </c>
      <c r="H42" s="1">
        <v>540.5</v>
      </c>
      <c r="I42" s="1">
        <f t="shared" si="1"/>
        <v>69.707204</v>
      </c>
      <c r="J42" s="1">
        <v>0.6</v>
      </c>
      <c r="K42" s="1">
        <v>0.01</v>
      </c>
      <c r="L42" s="1">
        <v>100.0</v>
      </c>
      <c r="M42" s="1">
        <f t="shared" si="2"/>
        <v>6000</v>
      </c>
      <c r="N42" s="1">
        <f t="shared" si="3"/>
        <v>86.07431737</v>
      </c>
    </row>
    <row r="43" ht="14.25" customHeight="1">
      <c r="A43" s="1">
        <v>3.0</v>
      </c>
      <c r="B43" s="1" t="s">
        <v>14</v>
      </c>
      <c r="C43" s="1" t="s">
        <v>15</v>
      </c>
      <c r="D43" s="2">
        <v>45491.0</v>
      </c>
      <c r="F43" s="1" t="s">
        <v>16</v>
      </c>
      <c r="G43" s="1">
        <v>0.2</v>
      </c>
      <c r="H43" s="1">
        <v>540.5</v>
      </c>
      <c r="I43" s="1">
        <f t="shared" si="1"/>
        <v>69.707204</v>
      </c>
      <c r="J43" s="1">
        <v>0.6</v>
      </c>
      <c r="K43" s="1">
        <v>0.01</v>
      </c>
      <c r="L43" s="1">
        <v>88.0</v>
      </c>
      <c r="M43" s="1">
        <f t="shared" si="2"/>
        <v>5280</v>
      </c>
      <c r="N43" s="1">
        <f t="shared" si="3"/>
        <v>75.74539928</v>
      </c>
    </row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portrait"/>
  <drawing r:id="rId1"/>
</worksheet>
</file>