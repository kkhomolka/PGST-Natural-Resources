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hadijahhomolka/Documents/GitHub/PGST-Natural-Resources/Portage Canal/"/>
    </mc:Choice>
  </mc:AlternateContent>
  <xr:revisionPtr revIDLastSave="0" documentId="13_ncr:1_{FFC1DB6E-5C43-6D4D-A74A-3A943696066F}" xr6:coauthVersionLast="47" xr6:coauthVersionMax="47" xr10:uidLastSave="{00000000-0000-0000-0000-000000000000}"/>
  <bookViews>
    <workbookView xWindow="70680" yWindow="-1420" windowWidth="30240" windowHeight="17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1" l="1"/>
  <c r="N43" i="1" s="1"/>
  <c r="I43" i="1"/>
  <c r="M42" i="1"/>
  <c r="N42" i="1" s="1"/>
  <c r="I42" i="1"/>
  <c r="M41" i="1"/>
  <c r="N41" i="1" s="1"/>
  <c r="I41" i="1"/>
  <c r="M40" i="1"/>
  <c r="N40" i="1" s="1"/>
  <c r="I40" i="1"/>
  <c r="M39" i="1"/>
  <c r="N39" i="1" s="1"/>
  <c r="I39" i="1"/>
  <c r="M38" i="1"/>
  <c r="N38" i="1" s="1"/>
  <c r="I38" i="1"/>
  <c r="M37" i="1"/>
  <c r="N37" i="1" s="1"/>
  <c r="I37" i="1"/>
  <c r="M36" i="1"/>
  <c r="N36" i="1" s="1"/>
  <c r="I36" i="1"/>
  <c r="M35" i="1"/>
  <c r="I35" i="1"/>
  <c r="N35" i="1" s="1"/>
  <c r="N34" i="1"/>
  <c r="M34" i="1"/>
  <c r="I34" i="1"/>
  <c r="N33" i="1"/>
  <c r="M33" i="1"/>
  <c r="I33" i="1"/>
  <c r="M32" i="1"/>
  <c r="N32" i="1" s="1"/>
  <c r="I32" i="1"/>
  <c r="M31" i="1"/>
  <c r="N31" i="1" s="1"/>
  <c r="I31" i="1"/>
  <c r="M30" i="1"/>
  <c r="N30" i="1" s="1"/>
  <c r="I30" i="1"/>
  <c r="M29" i="1"/>
  <c r="N29" i="1" s="1"/>
  <c r="I29" i="1"/>
  <c r="M28" i="1"/>
  <c r="N28" i="1" s="1"/>
  <c r="I28" i="1"/>
  <c r="N27" i="1"/>
  <c r="M27" i="1"/>
  <c r="I27" i="1"/>
  <c r="N26" i="1"/>
  <c r="M26" i="1"/>
  <c r="I26" i="1"/>
  <c r="N25" i="1"/>
  <c r="M25" i="1"/>
  <c r="I25" i="1"/>
  <c r="M24" i="1"/>
  <c r="N24" i="1" s="1"/>
  <c r="I24" i="1"/>
  <c r="M23" i="1"/>
  <c r="N23" i="1" s="1"/>
  <c r="I23" i="1"/>
  <c r="M22" i="1"/>
  <c r="N22" i="1" s="1"/>
  <c r="I22" i="1"/>
  <c r="M21" i="1"/>
  <c r="N21" i="1" s="1"/>
  <c r="I21" i="1"/>
  <c r="M20" i="1"/>
  <c r="N20" i="1" s="1"/>
  <c r="I20" i="1"/>
  <c r="N19" i="1"/>
  <c r="M19" i="1"/>
  <c r="I19" i="1"/>
  <c r="N18" i="1"/>
  <c r="M18" i="1"/>
  <c r="I18" i="1"/>
  <c r="N17" i="1"/>
  <c r="M17" i="1"/>
  <c r="I17" i="1"/>
  <c r="M16" i="1"/>
  <c r="N16" i="1" s="1"/>
  <c r="I16" i="1"/>
  <c r="M15" i="1"/>
  <c r="N15" i="1" s="1"/>
  <c r="I15" i="1"/>
  <c r="M14" i="1"/>
  <c r="N14" i="1" s="1"/>
  <c r="I14" i="1"/>
  <c r="M13" i="1"/>
  <c r="N13" i="1" s="1"/>
  <c r="I13" i="1"/>
  <c r="M12" i="1"/>
  <c r="N12" i="1" s="1"/>
  <c r="I12" i="1"/>
  <c r="N11" i="1"/>
  <c r="M11" i="1"/>
  <c r="I11" i="1"/>
  <c r="N10" i="1"/>
  <c r="M10" i="1"/>
  <c r="I10" i="1"/>
  <c r="N9" i="1"/>
  <c r="M9" i="1"/>
  <c r="I9" i="1"/>
  <c r="M8" i="1"/>
  <c r="N8" i="1" s="1"/>
  <c r="I8" i="1"/>
  <c r="M7" i="1"/>
  <c r="N7" i="1" s="1"/>
  <c r="I7" i="1"/>
  <c r="M6" i="1"/>
  <c r="N6" i="1" s="1"/>
  <c r="I6" i="1"/>
  <c r="M5" i="1"/>
  <c r="N5" i="1" s="1"/>
  <c r="I5" i="1"/>
  <c r="M4" i="1"/>
  <c r="N4" i="1" s="1"/>
  <c r="I4" i="1"/>
  <c r="N3" i="1"/>
  <c r="M3" i="1"/>
  <c r="I3" i="1"/>
  <c r="N2" i="1"/>
  <c r="M2" i="1"/>
  <c r="I2" i="1"/>
</calcChain>
</file>

<file path=xl/sharedStrings.xml><?xml version="1.0" encoding="utf-8"?>
<sst xmlns="http://schemas.openxmlformats.org/spreadsheetml/2006/main" count="140" uniqueCount="19">
  <si>
    <t>Sample #</t>
  </si>
  <si>
    <t>Project</t>
  </si>
  <si>
    <t>Location</t>
  </si>
  <si>
    <t>Date</t>
  </si>
  <si>
    <t>Time</t>
  </si>
  <si>
    <t>Tow Type</t>
  </si>
  <si>
    <t>SOG</t>
  </si>
  <si>
    <t>Plankton Counted</t>
  </si>
  <si>
    <t>Plankton in Sample</t>
  </si>
  <si>
    <t>Kelp</t>
  </si>
  <si>
    <t>NPTC</t>
  </si>
  <si>
    <t>Neuston</t>
  </si>
  <si>
    <t>SPTC</t>
  </si>
  <si>
    <t>SCOB</t>
  </si>
  <si>
    <t>Volume Filtered (L)</t>
  </si>
  <si>
    <t>Fresh Water Dilution (L)</t>
  </si>
  <si>
    <t>Volume Analyzed (L)</t>
  </si>
  <si>
    <t>Flow meter (revs)</t>
  </si>
  <si>
    <t>Environmental Plankton Concentration (Individuals /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</si>
</sst>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pane ySplit="1" topLeftCell="A2" activePane="bottomLeft" state="frozen"/>
      <selection pane="bottomLeft" activeCell="Q3" sqref="Q3"/>
    </sheetView>
  </sheetViews>
  <sheetFormatPr baseColWidth="10" defaultColWidth="14.5" defaultRowHeight="15" customHeight="1" x14ac:dyDescent="0.2"/>
  <cols>
    <col min="1" max="1" width="8.6640625" customWidth="1"/>
    <col min="2" max="2" width="6.6640625" customWidth="1"/>
    <col min="3" max="3" width="8.1640625" customWidth="1"/>
    <col min="4" max="4" width="9.5" customWidth="1"/>
    <col min="5" max="5" width="5.5" customWidth="1"/>
    <col min="6" max="6" width="8.6640625" customWidth="1"/>
    <col min="7" max="7" width="4.5" customWidth="1"/>
    <col min="8" max="8" width="15.5" customWidth="1"/>
    <col min="9" max="9" width="22" customWidth="1"/>
    <col min="10" max="10" width="17.83203125" customWidth="1"/>
    <col min="11" max="11" width="21.6640625" customWidth="1"/>
    <col min="12" max="12" width="15.5" customWidth="1"/>
    <col min="13" max="13" width="16.5" customWidth="1"/>
    <col min="14" max="14" width="33" customWidth="1"/>
    <col min="15" max="26" width="8.6640625" customWidth="1"/>
  </cols>
  <sheetData>
    <row r="1" spans="1:14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14</v>
      </c>
      <c r="J1" s="1" t="s">
        <v>15</v>
      </c>
      <c r="K1" s="1" t="s">
        <v>16</v>
      </c>
      <c r="L1" s="1" t="s">
        <v>7</v>
      </c>
      <c r="M1" s="1" t="s">
        <v>8</v>
      </c>
      <c r="N1" s="1" t="s">
        <v>18</v>
      </c>
    </row>
    <row r="2" spans="1:14" ht="14.25" customHeight="1" x14ac:dyDescent="0.2">
      <c r="A2" s="1">
        <v>1</v>
      </c>
      <c r="B2" s="1" t="s">
        <v>9</v>
      </c>
      <c r="C2" s="1" t="s">
        <v>10</v>
      </c>
      <c r="D2" s="2">
        <v>45498</v>
      </c>
      <c r="F2" s="1" t="s">
        <v>11</v>
      </c>
      <c r="G2" s="1">
        <v>0.8</v>
      </c>
      <c r="H2" s="1">
        <v>998.3</v>
      </c>
      <c r="I2" s="1">
        <f t="shared" ref="I2:I43" si="0">H2*0.245*0.5264</f>
        <v>128.7487544</v>
      </c>
      <c r="J2" s="1">
        <v>0.9</v>
      </c>
      <c r="K2" s="1">
        <v>0.01</v>
      </c>
      <c r="L2" s="1">
        <v>80</v>
      </c>
      <c r="M2" s="1">
        <f t="shared" ref="M2:M43" si="1">L2/K2*J2</f>
        <v>7200</v>
      </c>
      <c r="N2" s="1">
        <f t="shared" ref="N2:N43" si="2">M2/I2</f>
        <v>55.922871126433208</v>
      </c>
    </row>
    <row r="3" spans="1:14" ht="14.25" customHeight="1" x14ac:dyDescent="0.2">
      <c r="A3" s="1">
        <v>2</v>
      </c>
      <c r="B3" s="1" t="s">
        <v>9</v>
      </c>
      <c r="C3" s="1" t="s">
        <v>10</v>
      </c>
      <c r="D3" s="2">
        <v>45498</v>
      </c>
      <c r="F3" s="1" t="s">
        <v>11</v>
      </c>
      <c r="G3" s="1">
        <v>0.8</v>
      </c>
      <c r="H3" s="1">
        <v>998.3</v>
      </c>
      <c r="I3" s="1">
        <f t="shared" si="0"/>
        <v>128.7487544</v>
      </c>
      <c r="J3" s="1">
        <v>0.92500000000000004</v>
      </c>
      <c r="K3" s="1">
        <v>0.01</v>
      </c>
      <c r="L3" s="1">
        <v>82</v>
      </c>
      <c r="M3" s="1">
        <f t="shared" si="1"/>
        <v>7585</v>
      </c>
      <c r="N3" s="1">
        <f t="shared" si="2"/>
        <v>58.913191318610536</v>
      </c>
    </row>
    <row r="4" spans="1:14" ht="14.25" customHeight="1" x14ac:dyDescent="0.2">
      <c r="A4" s="1">
        <v>3</v>
      </c>
      <c r="B4" s="1" t="s">
        <v>9</v>
      </c>
      <c r="C4" s="1" t="s">
        <v>10</v>
      </c>
      <c r="D4" s="2">
        <v>45498</v>
      </c>
      <c r="F4" s="1" t="s">
        <v>11</v>
      </c>
      <c r="G4" s="1">
        <v>0.8</v>
      </c>
      <c r="H4" s="1">
        <v>998.3</v>
      </c>
      <c r="I4" s="1">
        <f t="shared" si="0"/>
        <v>128.7487544</v>
      </c>
      <c r="J4" s="1">
        <v>0.94</v>
      </c>
      <c r="K4" s="1">
        <v>0.01</v>
      </c>
      <c r="L4" s="1">
        <v>86</v>
      </c>
      <c r="M4" s="1">
        <f t="shared" si="1"/>
        <v>8083.9999999999991</v>
      </c>
      <c r="N4" s="1">
        <f t="shared" si="2"/>
        <v>62.788956970289718</v>
      </c>
    </row>
    <row r="5" spans="1:14" ht="14.25" customHeight="1" x14ac:dyDescent="0.2">
      <c r="A5" s="1">
        <v>1</v>
      </c>
      <c r="B5" s="1" t="s">
        <v>9</v>
      </c>
      <c r="C5" s="1" t="s">
        <v>12</v>
      </c>
      <c r="D5" s="2">
        <v>45498</v>
      </c>
      <c r="F5" s="1" t="s">
        <v>11</v>
      </c>
      <c r="H5" s="1">
        <v>1023.7</v>
      </c>
      <c r="I5" s="1">
        <f t="shared" si="0"/>
        <v>132.02454159999999</v>
      </c>
      <c r="J5" s="1">
        <v>0.45</v>
      </c>
      <c r="K5" s="1">
        <v>0.01</v>
      </c>
      <c r="L5" s="1">
        <v>125</v>
      </c>
      <c r="M5" s="1">
        <f t="shared" si="1"/>
        <v>5625</v>
      </c>
      <c r="N5" s="1">
        <f t="shared" si="2"/>
        <v>42.605715057449594</v>
      </c>
    </row>
    <row r="6" spans="1:14" ht="14.25" customHeight="1" x14ac:dyDescent="0.2">
      <c r="A6" s="1">
        <v>2</v>
      </c>
      <c r="B6" s="1" t="s">
        <v>9</v>
      </c>
      <c r="C6" s="1" t="s">
        <v>12</v>
      </c>
      <c r="D6" s="2">
        <v>45498</v>
      </c>
      <c r="F6" s="1" t="s">
        <v>11</v>
      </c>
      <c r="H6" s="1">
        <v>1023.7</v>
      </c>
      <c r="I6" s="1">
        <f t="shared" si="0"/>
        <v>132.02454159999999</v>
      </c>
      <c r="J6" s="1">
        <v>0.8</v>
      </c>
      <c r="K6" s="1">
        <v>0.01</v>
      </c>
      <c r="L6" s="1">
        <v>55</v>
      </c>
      <c r="M6" s="1">
        <f t="shared" si="1"/>
        <v>4400</v>
      </c>
      <c r="N6" s="1">
        <f t="shared" si="2"/>
        <v>33.327137111605019</v>
      </c>
    </row>
    <row r="7" spans="1:14" ht="14.25" customHeight="1" x14ac:dyDescent="0.2">
      <c r="A7" s="1">
        <v>3</v>
      </c>
      <c r="B7" s="1" t="s">
        <v>9</v>
      </c>
      <c r="C7" s="1" t="s">
        <v>12</v>
      </c>
      <c r="D7" s="2">
        <v>45498</v>
      </c>
      <c r="F7" s="1" t="s">
        <v>11</v>
      </c>
      <c r="H7" s="1">
        <v>1023.7</v>
      </c>
      <c r="I7" s="1">
        <f t="shared" si="0"/>
        <v>132.02454159999999</v>
      </c>
      <c r="J7" s="1">
        <v>0.9</v>
      </c>
      <c r="K7" s="1">
        <v>0.01</v>
      </c>
      <c r="L7" s="1">
        <v>60</v>
      </c>
      <c r="M7" s="1">
        <f t="shared" si="1"/>
        <v>5400</v>
      </c>
      <c r="N7" s="1">
        <f t="shared" si="2"/>
        <v>40.901486455151613</v>
      </c>
    </row>
    <row r="8" spans="1:14" ht="14.25" customHeight="1" x14ac:dyDescent="0.2">
      <c r="A8" s="1">
        <v>1</v>
      </c>
      <c r="B8" s="1" t="s">
        <v>9</v>
      </c>
      <c r="C8" s="1" t="s">
        <v>10</v>
      </c>
      <c r="D8" s="2">
        <v>45520</v>
      </c>
      <c r="E8" s="3">
        <v>0.6381944444444444</v>
      </c>
      <c r="F8" s="1" t="s">
        <v>11</v>
      </c>
      <c r="G8" s="1">
        <v>1</v>
      </c>
      <c r="H8" s="1">
        <v>988.3</v>
      </c>
      <c r="I8" s="1">
        <f t="shared" si="0"/>
        <v>127.45907439999999</v>
      </c>
      <c r="J8" s="1">
        <v>0.5</v>
      </c>
      <c r="K8" s="1">
        <v>0.01</v>
      </c>
      <c r="L8" s="1">
        <v>110</v>
      </c>
      <c r="M8" s="1">
        <f t="shared" si="1"/>
        <v>5500</v>
      </c>
      <c r="N8" s="1">
        <f t="shared" si="2"/>
        <v>43.151105763874902</v>
      </c>
    </row>
    <row r="9" spans="1:14" ht="14.25" customHeight="1" x14ac:dyDescent="0.2">
      <c r="A9" s="1">
        <v>2</v>
      </c>
      <c r="B9" s="1" t="s">
        <v>9</v>
      </c>
      <c r="C9" s="1" t="s">
        <v>10</v>
      </c>
      <c r="D9" s="2">
        <v>45520</v>
      </c>
      <c r="E9" s="3">
        <v>0.67986111111111103</v>
      </c>
      <c r="F9" s="1" t="s">
        <v>11</v>
      </c>
      <c r="G9" s="1">
        <v>1</v>
      </c>
      <c r="H9" s="1">
        <v>988.3</v>
      </c>
      <c r="I9" s="1">
        <f t="shared" si="0"/>
        <v>127.45907439999999</v>
      </c>
      <c r="J9" s="1">
        <v>0.5</v>
      </c>
      <c r="K9" s="1">
        <v>0.01</v>
      </c>
      <c r="L9" s="1">
        <v>162</v>
      </c>
      <c r="M9" s="1">
        <f t="shared" si="1"/>
        <v>8100</v>
      </c>
      <c r="N9" s="1">
        <f t="shared" si="2"/>
        <v>63.549810306797589</v>
      </c>
    </row>
    <row r="10" spans="1:14" ht="14.25" customHeight="1" x14ac:dyDescent="0.2">
      <c r="A10" s="1">
        <v>3</v>
      </c>
      <c r="B10" s="1" t="s">
        <v>9</v>
      </c>
      <c r="C10" s="1" t="s">
        <v>10</v>
      </c>
      <c r="D10" s="2">
        <v>45520</v>
      </c>
      <c r="E10" s="3">
        <v>0.72152777777777799</v>
      </c>
      <c r="F10" s="1" t="s">
        <v>11</v>
      </c>
      <c r="G10" s="1">
        <v>1</v>
      </c>
      <c r="H10" s="1">
        <v>988.3</v>
      </c>
      <c r="I10" s="1">
        <f t="shared" si="0"/>
        <v>127.45907439999999</v>
      </c>
      <c r="J10" s="1">
        <v>0.5</v>
      </c>
      <c r="K10" s="1">
        <v>0.01</v>
      </c>
      <c r="L10" s="1">
        <v>148</v>
      </c>
      <c r="M10" s="1">
        <f t="shared" si="1"/>
        <v>7400</v>
      </c>
      <c r="N10" s="1">
        <f t="shared" si="2"/>
        <v>58.057851391395324</v>
      </c>
    </row>
    <row r="11" spans="1:14" ht="14.25" customHeight="1" x14ac:dyDescent="0.2">
      <c r="A11" s="1">
        <v>1</v>
      </c>
      <c r="B11" s="1" t="s">
        <v>9</v>
      </c>
      <c r="C11" s="1" t="s">
        <v>12</v>
      </c>
      <c r="D11" s="2">
        <v>45520</v>
      </c>
      <c r="E11" s="3">
        <v>0.60069444444444442</v>
      </c>
      <c r="F11" s="1" t="s">
        <v>11</v>
      </c>
      <c r="G11" s="1">
        <v>0.5</v>
      </c>
      <c r="H11" s="1">
        <v>528.9</v>
      </c>
      <c r="I11" s="1">
        <f t="shared" si="0"/>
        <v>68.2111752</v>
      </c>
      <c r="J11" s="1">
        <v>0.4</v>
      </c>
      <c r="K11" s="1">
        <v>0.01</v>
      </c>
      <c r="L11" s="1">
        <v>75</v>
      </c>
      <c r="M11" s="1">
        <f t="shared" si="1"/>
        <v>3000</v>
      </c>
      <c r="N11" s="1">
        <f t="shared" si="2"/>
        <v>43.981063091257219</v>
      </c>
    </row>
    <row r="12" spans="1:14" ht="14.25" customHeight="1" x14ac:dyDescent="0.2">
      <c r="A12" s="1">
        <v>2</v>
      </c>
      <c r="B12" s="1" t="s">
        <v>9</v>
      </c>
      <c r="C12" s="1" t="s">
        <v>12</v>
      </c>
      <c r="D12" s="2">
        <v>45520</v>
      </c>
      <c r="E12" s="3">
        <v>0.60069444444444442</v>
      </c>
      <c r="F12" s="1" t="s">
        <v>11</v>
      </c>
      <c r="G12" s="1">
        <v>0.5</v>
      </c>
      <c r="H12" s="1">
        <v>528.9</v>
      </c>
      <c r="I12" s="1">
        <f t="shared" si="0"/>
        <v>68.2111752</v>
      </c>
      <c r="J12" s="1">
        <v>0.4</v>
      </c>
      <c r="K12" s="1">
        <v>0.01</v>
      </c>
      <c r="L12" s="1">
        <v>63</v>
      </c>
      <c r="M12" s="1">
        <f t="shared" si="1"/>
        <v>2520</v>
      </c>
      <c r="N12" s="1">
        <f t="shared" si="2"/>
        <v>36.944092996656067</v>
      </c>
    </row>
    <row r="13" spans="1:14" ht="14.25" customHeight="1" x14ac:dyDescent="0.2">
      <c r="A13" s="1">
        <v>3</v>
      </c>
      <c r="B13" s="1" t="s">
        <v>9</v>
      </c>
      <c r="C13" s="1" t="s">
        <v>12</v>
      </c>
      <c r="D13" s="2">
        <v>45520</v>
      </c>
      <c r="E13" s="3">
        <v>0.60069444444444442</v>
      </c>
      <c r="F13" s="1" t="s">
        <v>11</v>
      </c>
      <c r="G13" s="1">
        <v>0.5</v>
      </c>
      <c r="H13" s="1">
        <v>528.9</v>
      </c>
      <c r="I13" s="1">
        <f t="shared" si="0"/>
        <v>68.2111752</v>
      </c>
      <c r="J13" s="1">
        <v>0.4</v>
      </c>
      <c r="K13" s="1">
        <v>0.01</v>
      </c>
      <c r="L13" s="1">
        <v>72</v>
      </c>
      <c r="M13" s="1">
        <f t="shared" si="1"/>
        <v>2880</v>
      </c>
      <c r="N13" s="1">
        <f t="shared" si="2"/>
        <v>42.221820567606933</v>
      </c>
    </row>
    <row r="14" spans="1:14" ht="14.25" customHeight="1" x14ac:dyDescent="0.2">
      <c r="A14" s="1">
        <v>1</v>
      </c>
      <c r="B14" s="1" t="s">
        <v>9</v>
      </c>
      <c r="C14" s="1" t="s">
        <v>10</v>
      </c>
      <c r="D14" s="2">
        <v>45534</v>
      </c>
      <c r="E14" s="3">
        <v>0.54097222222222219</v>
      </c>
      <c r="F14" s="1" t="s">
        <v>11</v>
      </c>
      <c r="G14" s="1">
        <v>2</v>
      </c>
      <c r="H14" s="1">
        <v>1064</v>
      </c>
      <c r="I14" s="1">
        <f t="shared" si="0"/>
        <v>137.22195199999999</v>
      </c>
      <c r="J14" s="1">
        <v>0.5</v>
      </c>
      <c r="K14" s="1">
        <v>0.01</v>
      </c>
      <c r="L14" s="1">
        <v>78</v>
      </c>
      <c r="M14" s="1">
        <f t="shared" si="1"/>
        <v>3900</v>
      </c>
      <c r="N14" s="1">
        <f t="shared" si="2"/>
        <v>28.421108599300499</v>
      </c>
    </row>
    <row r="15" spans="1:14" ht="14.25" customHeight="1" x14ac:dyDescent="0.2">
      <c r="A15" s="1">
        <v>2</v>
      </c>
      <c r="B15" s="1" t="s">
        <v>9</v>
      </c>
      <c r="C15" s="1" t="s">
        <v>10</v>
      </c>
      <c r="D15" s="2">
        <v>45534</v>
      </c>
      <c r="E15" s="3">
        <v>0.54097222222222219</v>
      </c>
      <c r="F15" s="1" t="s">
        <v>11</v>
      </c>
      <c r="G15" s="1">
        <v>2</v>
      </c>
      <c r="H15" s="1">
        <v>1064</v>
      </c>
      <c r="I15" s="1">
        <f t="shared" si="0"/>
        <v>137.22195199999999</v>
      </c>
      <c r="J15" s="1">
        <v>0.5</v>
      </c>
      <c r="K15" s="1">
        <v>0.01</v>
      </c>
      <c r="L15" s="1">
        <v>88</v>
      </c>
      <c r="M15" s="1">
        <f t="shared" si="1"/>
        <v>4400</v>
      </c>
      <c r="N15" s="1">
        <f t="shared" si="2"/>
        <v>32.064840471005695</v>
      </c>
    </row>
    <row r="16" spans="1:14" ht="14.25" customHeight="1" x14ac:dyDescent="0.2">
      <c r="A16" s="1">
        <v>3</v>
      </c>
      <c r="B16" s="1" t="s">
        <v>9</v>
      </c>
      <c r="C16" s="1" t="s">
        <v>10</v>
      </c>
      <c r="D16" s="2">
        <v>45534</v>
      </c>
      <c r="E16" s="3">
        <v>0.54097222222222219</v>
      </c>
      <c r="F16" s="1" t="s">
        <v>11</v>
      </c>
      <c r="G16" s="1">
        <v>2</v>
      </c>
      <c r="H16" s="1">
        <v>1064</v>
      </c>
      <c r="I16" s="1">
        <f t="shared" si="0"/>
        <v>137.22195199999999</v>
      </c>
      <c r="J16" s="1">
        <v>0.5</v>
      </c>
      <c r="K16" s="1">
        <v>0.01</v>
      </c>
      <c r="L16" s="1">
        <v>89</v>
      </c>
      <c r="M16" s="1">
        <f t="shared" si="1"/>
        <v>4450</v>
      </c>
      <c r="N16" s="1">
        <f t="shared" si="2"/>
        <v>32.429213658176209</v>
      </c>
    </row>
    <row r="17" spans="1:14" ht="14.25" customHeight="1" x14ac:dyDescent="0.2">
      <c r="A17" s="1">
        <v>1</v>
      </c>
      <c r="B17" s="1" t="s">
        <v>9</v>
      </c>
      <c r="C17" s="1" t="s">
        <v>13</v>
      </c>
      <c r="D17" s="2">
        <v>45534</v>
      </c>
      <c r="E17" s="3">
        <v>0.47430555555555554</v>
      </c>
      <c r="F17" s="1" t="s">
        <v>11</v>
      </c>
      <c r="G17" s="1">
        <v>0.3</v>
      </c>
      <c r="H17" s="1">
        <v>1044.5</v>
      </c>
      <c r="I17" s="1">
        <f t="shared" si="0"/>
        <v>134.707076</v>
      </c>
      <c r="J17" s="1">
        <v>0.3</v>
      </c>
      <c r="K17" s="1">
        <v>0.01</v>
      </c>
      <c r="L17" s="1">
        <v>215</v>
      </c>
      <c r="M17" s="1">
        <f t="shared" si="1"/>
        <v>6450</v>
      </c>
      <c r="N17" s="1">
        <f t="shared" si="2"/>
        <v>47.881671783893523</v>
      </c>
    </row>
    <row r="18" spans="1:14" ht="14.25" customHeight="1" x14ac:dyDescent="0.2">
      <c r="A18" s="1">
        <v>2</v>
      </c>
      <c r="B18" s="1" t="s">
        <v>9</v>
      </c>
      <c r="C18" s="1" t="s">
        <v>13</v>
      </c>
      <c r="D18" s="2">
        <v>45534</v>
      </c>
      <c r="E18" s="3">
        <v>0.47430555555555554</v>
      </c>
      <c r="F18" s="1" t="s">
        <v>11</v>
      </c>
      <c r="G18" s="1">
        <v>0.3</v>
      </c>
      <c r="H18" s="1">
        <v>1044.5</v>
      </c>
      <c r="I18" s="1">
        <f t="shared" si="0"/>
        <v>134.707076</v>
      </c>
      <c r="J18" s="1">
        <v>0.5</v>
      </c>
      <c r="K18" s="1">
        <v>0.01</v>
      </c>
      <c r="L18" s="1">
        <v>154</v>
      </c>
      <c r="M18" s="1">
        <f t="shared" si="1"/>
        <v>7700</v>
      </c>
      <c r="N18" s="1">
        <f t="shared" si="2"/>
        <v>57.161065540462033</v>
      </c>
    </row>
    <row r="19" spans="1:14" ht="14.25" customHeight="1" x14ac:dyDescent="0.2">
      <c r="A19" s="1">
        <v>3</v>
      </c>
      <c r="B19" s="1" t="s">
        <v>9</v>
      </c>
      <c r="C19" s="1" t="s">
        <v>13</v>
      </c>
      <c r="D19" s="2">
        <v>45534</v>
      </c>
      <c r="E19" s="3">
        <v>0.47430555555555554</v>
      </c>
      <c r="F19" s="1" t="s">
        <v>11</v>
      </c>
      <c r="G19" s="1">
        <v>0.3</v>
      </c>
      <c r="H19" s="1">
        <v>1044.5</v>
      </c>
      <c r="I19" s="1">
        <f t="shared" si="0"/>
        <v>134.707076</v>
      </c>
      <c r="J19" s="1">
        <v>0.5</v>
      </c>
      <c r="K19" s="1">
        <v>0.01</v>
      </c>
      <c r="L19" s="1">
        <v>120</v>
      </c>
      <c r="M19" s="1">
        <f t="shared" si="1"/>
        <v>6000</v>
      </c>
      <c r="N19" s="1">
        <f t="shared" si="2"/>
        <v>44.541090031528853</v>
      </c>
    </row>
    <row r="20" spans="1:14" ht="14.25" customHeight="1" x14ac:dyDescent="0.2">
      <c r="A20" s="1">
        <v>1</v>
      </c>
      <c r="B20" s="1" t="s">
        <v>9</v>
      </c>
      <c r="C20" s="1" t="s">
        <v>10</v>
      </c>
      <c r="D20" s="2">
        <v>45546</v>
      </c>
      <c r="E20" s="3">
        <v>0.66597222222222219</v>
      </c>
      <c r="F20" s="1" t="s">
        <v>11</v>
      </c>
      <c r="G20" s="1">
        <v>1.5</v>
      </c>
      <c r="H20" s="1">
        <v>1122.5999999999999</v>
      </c>
      <c r="I20" s="1">
        <f t="shared" si="0"/>
        <v>144.77947679999997</v>
      </c>
      <c r="J20" s="1">
        <v>0.4</v>
      </c>
      <c r="K20" s="1">
        <v>0.01</v>
      </c>
      <c r="L20" s="1">
        <v>48</v>
      </c>
      <c r="M20" s="1">
        <f t="shared" si="1"/>
        <v>1920</v>
      </c>
      <c r="N20" s="1">
        <f t="shared" si="2"/>
        <v>13.26154813124729</v>
      </c>
    </row>
    <row r="21" spans="1:14" ht="14.25" customHeight="1" x14ac:dyDescent="0.2">
      <c r="A21" s="1">
        <v>2</v>
      </c>
      <c r="B21" s="1" t="s">
        <v>9</v>
      </c>
      <c r="C21" s="1" t="s">
        <v>10</v>
      </c>
      <c r="D21" s="2">
        <v>45546</v>
      </c>
      <c r="E21" s="3">
        <v>0.66597222222222219</v>
      </c>
      <c r="F21" s="1" t="s">
        <v>11</v>
      </c>
      <c r="G21" s="1">
        <v>1.5</v>
      </c>
      <c r="H21" s="1">
        <v>1122.5999999999999</v>
      </c>
      <c r="I21" s="1">
        <f t="shared" si="0"/>
        <v>144.77947679999997</v>
      </c>
      <c r="J21" s="1">
        <v>0.4</v>
      </c>
      <c r="K21" s="1">
        <v>0.01</v>
      </c>
      <c r="L21" s="1">
        <v>59</v>
      </c>
      <c r="M21" s="1">
        <f t="shared" si="1"/>
        <v>2360</v>
      </c>
      <c r="N21" s="1">
        <f t="shared" si="2"/>
        <v>16.300652911324793</v>
      </c>
    </row>
    <row r="22" spans="1:14" ht="14.25" customHeight="1" x14ac:dyDescent="0.2">
      <c r="A22" s="1">
        <v>3</v>
      </c>
      <c r="B22" s="1" t="s">
        <v>9</v>
      </c>
      <c r="C22" s="1" t="s">
        <v>10</v>
      </c>
      <c r="D22" s="2">
        <v>45546</v>
      </c>
      <c r="E22" s="3">
        <v>0.66597222222222219</v>
      </c>
      <c r="F22" s="1" t="s">
        <v>11</v>
      </c>
      <c r="G22" s="1">
        <v>1.5</v>
      </c>
      <c r="H22" s="1">
        <v>1122.5999999999999</v>
      </c>
      <c r="I22" s="1">
        <f t="shared" si="0"/>
        <v>144.77947679999997</v>
      </c>
      <c r="J22" s="1">
        <v>0.4</v>
      </c>
      <c r="K22" s="1">
        <v>0.01</v>
      </c>
      <c r="L22" s="1">
        <v>46</v>
      </c>
      <c r="M22" s="1">
        <f t="shared" si="1"/>
        <v>1840</v>
      </c>
      <c r="N22" s="1">
        <f t="shared" si="2"/>
        <v>12.708983625778654</v>
      </c>
    </row>
    <row r="23" spans="1:14" ht="14.25" customHeight="1" x14ac:dyDescent="0.2">
      <c r="A23" s="1">
        <v>1</v>
      </c>
      <c r="B23" s="1" t="s">
        <v>9</v>
      </c>
      <c r="C23" s="1" t="s">
        <v>13</v>
      </c>
      <c r="D23" s="2">
        <v>45546</v>
      </c>
      <c r="F23" s="1" t="s">
        <v>11</v>
      </c>
      <c r="G23" s="1">
        <v>1.5</v>
      </c>
      <c r="H23" s="1">
        <v>1027.0999999999999</v>
      </c>
      <c r="I23" s="1">
        <f t="shared" si="0"/>
        <v>132.46303279999998</v>
      </c>
      <c r="J23" s="1">
        <v>0.12</v>
      </c>
      <c r="K23" s="1">
        <v>0.01</v>
      </c>
      <c r="L23" s="1">
        <v>40</v>
      </c>
      <c r="M23" s="1">
        <f t="shared" si="1"/>
        <v>480</v>
      </c>
      <c r="N23" s="1">
        <f t="shared" si="2"/>
        <v>3.6236525002770441</v>
      </c>
    </row>
    <row r="24" spans="1:14" ht="14.25" customHeight="1" x14ac:dyDescent="0.2">
      <c r="A24" s="1">
        <v>2</v>
      </c>
      <c r="B24" s="1" t="s">
        <v>9</v>
      </c>
      <c r="C24" s="1" t="s">
        <v>13</v>
      </c>
      <c r="D24" s="2">
        <v>45546</v>
      </c>
      <c r="F24" s="1" t="s">
        <v>11</v>
      </c>
      <c r="G24" s="1">
        <v>1.5</v>
      </c>
      <c r="H24" s="1">
        <v>1027.0999999999999</v>
      </c>
      <c r="I24" s="1">
        <f t="shared" si="0"/>
        <v>132.46303279999998</v>
      </c>
      <c r="J24" s="1">
        <v>0.12</v>
      </c>
      <c r="K24" s="1">
        <v>0.01</v>
      </c>
      <c r="L24" s="1">
        <v>63</v>
      </c>
      <c r="M24" s="1">
        <f t="shared" si="1"/>
        <v>756</v>
      </c>
      <c r="N24" s="1">
        <f t="shared" si="2"/>
        <v>5.7072526879363439</v>
      </c>
    </row>
    <row r="25" spans="1:14" ht="14.25" customHeight="1" x14ac:dyDescent="0.2">
      <c r="A25" s="1">
        <v>3</v>
      </c>
      <c r="B25" s="1" t="s">
        <v>9</v>
      </c>
      <c r="C25" s="1" t="s">
        <v>13</v>
      </c>
      <c r="D25" s="2">
        <v>45546</v>
      </c>
      <c r="F25" s="1" t="s">
        <v>11</v>
      </c>
      <c r="G25" s="1">
        <v>1.5</v>
      </c>
      <c r="H25" s="1">
        <v>1027.0999999999999</v>
      </c>
      <c r="I25" s="1">
        <f t="shared" si="0"/>
        <v>132.46303279999998</v>
      </c>
      <c r="J25" s="1">
        <v>0.12</v>
      </c>
      <c r="K25" s="1">
        <v>0.01</v>
      </c>
      <c r="L25" s="1">
        <v>49</v>
      </c>
      <c r="M25" s="1">
        <f t="shared" si="1"/>
        <v>588</v>
      </c>
      <c r="N25" s="1">
        <f t="shared" si="2"/>
        <v>4.4389743128393784</v>
      </c>
    </row>
    <row r="26" spans="1:14" ht="14.25" customHeight="1" x14ac:dyDescent="0.2">
      <c r="A26" s="1">
        <v>1</v>
      </c>
      <c r="B26" s="1" t="s">
        <v>9</v>
      </c>
      <c r="C26" s="1" t="s">
        <v>10</v>
      </c>
      <c r="D26" s="2">
        <v>45561</v>
      </c>
      <c r="E26" s="3">
        <v>0.55138888888888893</v>
      </c>
      <c r="F26" s="1" t="s">
        <v>11</v>
      </c>
      <c r="G26" s="1">
        <v>0.5</v>
      </c>
      <c r="H26" s="1">
        <v>1014.3</v>
      </c>
      <c r="I26" s="1">
        <f t="shared" si="0"/>
        <v>130.81224239999997</v>
      </c>
      <c r="J26" s="1">
        <v>0.8</v>
      </c>
      <c r="K26" s="1">
        <v>0.01</v>
      </c>
      <c r="L26" s="1">
        <v>27</v>
      </c>
      <c r="M26" s="1">
        <f t="shared" si="1"/>
        <v>2160</v>
      </c>
      <c r="N26" s="1">
        <f t="shared" si="2"/>
        <v>16.512215985068998</v>
      </c>
    </row>
    <row r="27" spans="1:14" ht="14.25" customHeight="1" x14ac:dyDescent="0.2">
      <c r="A27" s="1">
        <v>2</v>
      </c>
      <c r="B27" s="1" t="s">
        <v>9</v>
      </c>
      <c r="C27" s="1" t="s">
        <v>10</v>
      </c>
      <c r="D27" s="2">
        <v>45561</v>
      </c>
      <c r="E27" s="3">
        <v>0.55138888888888893</v>
      </c>
      <c r="F27" s="1" t="s">
        <v>11</v>
      </c>
      <c r="G27" s="1">
        <v>0.5</v>
      </c>
      <c r="H27" s="1">
        <v>1014.3</v>
      </c>
      <c r="I27" s="1">
        <f t="shared" si="0"/>
        <v>130.81224239999997</v>
      </c>
      <c r="J27" s="1">
        <v>0.8</v>
      </c>
      <c r="K27" s="1">
        <v>0.01</v>
      </c>
      <c r="L27" s="1">
        <v>20</v>
      </c>
      <c r="M27" s="1">
        <f t="shared" si="1"/>
        <v>1600</v>
      </c>
      <c r="N27" s="1">
        <f t="shared" si="2"/>
        <v>12.231271100051108</v>
      </c>
    </row>
    <row r="28" spans="1:14" ht="14.25" customHeight="1" x14ac:dyDescent="0.2">
      <c r="A28" s="1">
        <v>3</v>
      </c>
      <c r="B28" s="1" t="s">
        <v>9</v>
      </c>
      <c r="C28" s="1" t="s">
        <v>10</v>
      </c>
      <c r="D28" s="2">
        <v>45561</v>
      </c>
      <c r="E28" s="3">
        <v>0.55138888888888893</v>
      </c>
      <c r="F28" s="1" t="s">
        <v>11</v>
      </c>
      <c r="G28" s="1">
        <v>0.5</v>
      </c>
      <c r="H28" s="1">
        <v>1014.3</v>
      </c>
      <c r="I28" s="1">
        <f t="shared" si="0"/>
        <v>130.81224239999997</v>
      </c>
      <c r="J28" s="1">
        <v>0.8</v>
      </c>
      <c r="K28" s="1">
        <v>0.01</v>
      </c>
      <c r="L28" s="1">
        <v>25</v>
      </c>
      <c r="M28" s="1">
        <f t="shared" si="1"/>
        <v>2000</v>
      </c>
      <c r="N28" s="1">
        <f t="shared" si="2"/>
        <v>15.289088875063886</v>
      </c>
    </row>
    <row r="29" spans="1:14" ht="14.25" customHeight="1" x14ac:dyDescent="0.2">
      <c r="A29" s="1">
        <v>1</v>
      </c>
      <c r="B29" s="1" t="s">
        <v>9</v>
      </c>
      <c r="C29" s="1" t="s">
        <v>13</v>
      </c>
      <c r="D29" s="2">
        <v>45561</v>
      </c>
      <c r="F29" s="1" t="s">
        <v>11</v>
      </c>
      <c r="G29" s="1">
        <v>0.4</v>
      </c>
      <c r="H29" s="1">
        <v>1187</v>
      </c>
      <c r="I29" s="1">
        <f t="shared" si="0"/>
        <v>153.085016</v>
      </c>
      <c r="J29" s="1">
        <v>0.375</v>
      </c>
      <c r="K29" s="1">
        <v>0.01</v>
      </c>
      <c r="L29" s="1">
        <v>42</v>
      </c>
      <c r="M29" s="1">
        <f t="shared" si="1"/>
        <v>1575</v>
      </c>
      <c r="N29" s="1">
        <f t="shared" si="2"/>
        <v>10.288400792929336</v>
      </c>
    </row>
    <row r="30" spans="1:14" ht="14.25" customHeight="1" x14ac:dyDescent="0.2">
      <c r="A30" s="1">
        <v>2</v>
      </c>
      <c r="B30" s="1" t="s">
        <v>9</v>
      </c>
      <c r="C30" s="1" t="s">
        <v>13</v>
      </c>
      <c r="D30" s="2">
        <v>45561</v>
      </c>
      <c r="F30" s="1" t="s">
        <v>11</v>
      </c>
      <c r="G30" s="1">
        <v>0.4</v>
      </c>
      <c r="H30" s="1">
        <v>1187</v>
      </c>
      <c r="I30" s="1">
        <f t="shared" si="0"/>
        <v>153.085016</v>
      </c>
      <c r="J30" s="1">
        <v>0.375</v>
      </c>
      <c r="K30" s="1">
        <v>0.01</v>
      </c>
      <c r="L30" s="1">
        <v>32</v>
      </c>
      <c r="M30" s="1">
        <f t="shared" si="1"/>
        <v>1200</v>
      </c>
      <c r="N30" s="1">
        <f t="shared" si="2"/>
        <v>7.8387815565175893</v>
      </c>
    </row>
    <row r="31" spans="1:14" ht="14.25" customHeight="1" x14ac:dyDescent="0.2">
      <c r="A31" s="1">
        <v>3</v>
      </c>
      <c r="B31" s="1" t="s">
        <v>9</v>
      </c>
      <c r="C31" s="1" t="s">
        <v>13</v>
      </c>
      <c r="D31" s="2">
        <v>45561</v>
      </c>
      <c r="F31" s="1" t="s">
        <v>11</v>
      </c>
      <c r="G31" s="1">
        <v>0.4</v>
      </c>
      <c r="H31" s="1">
        <v>1187</v>
      </c>
      <c r="I31" s="1">
        <f t="shared" si="0"/>
        <v>153.085016</v>
      </c>
      <c r="J31" s="1">
        <v>0.375</v>
      </c>
      <c r="K31" s="1">
        <v>0.01</v>
      </c>
      <c r="L31" s="1">
        <v>41</v>
      </c>
      <c r="M31" s="1">
        <f t="shared" si="1"/>
        <v>1537.5</v>
      </c>
      <c r="N31" s="1">
        <f t="shared" si="2"/>
        <v>10.043438869288162</v>
      </c>
    </row>
    <row r="32" spans="1:14" ht="14.25" customHeight="1" x14ac:dyDescent="0.2">
      <c r="A32" s="1">
        <v>1</v>
      </c>
      <c r="B32" s="1" t="s">
        <v>9</v>
      </c>
      <c r="C32" s="1" t="s">
        <v>10</v>
      </c>
      <c r="D32" s="2">
        <v>45574</v>
      </c>
      <c r="E32" s="3">
        <v>0.53402777777777777</v>
      </c>
      <c r="F32" s="1" t="s">
        <v>11</v>
      </c>
      <c r="G32" s="1">
        <v>1.4</v>
      </c>
      <c r="H32" s="1">
        <v>974.4</v>
      </c>
      <c r="I32" s="1">
        <f t="shared" si="0"/>
        <v>125.66641919999998</v>
      </c>
      <c r="J32" s="1">
        <v>0.8</v>
      </c>
      <c r="K32" s="1">
        <v>0.01</v>
      </c>
      <c r="L32" s="1">
        <v>46</v>
      </c>
      <c r="M32" s="1">
        <f t="shared" si="1"/>
        <v>3680</v>
      </c>
      <c r="N32" s="1">
        <f t="shared" si="2"/>
        <v>29.283877295359432</v>
      </c>
    </row>
    <row r="33" spans="1:14" ht="14.25" customHeight="1" x14ac:dyDescent="0.2">
      <c r="A33" s="1">
        <v>2</v>
      </c>
      <c r="B33" s="1" t="s">
        <v>9</v>
      </c>
      <c r="C33" s="1" t="s">
        <v>10</v>
      </c>
      <c r="D33" s="2">
        <v>45574</v>
      </c>
      <c r="E33" s="3">
        <v>0.53402777777777777</v>
      </c>
      <c r="F33" s="1" t="s">
        <v>11</v>
      </c>
      <c r="G33" s="1">
        <v>1.4</v>
      </c>
      <c r="H33" s="1">
        <v>974.4</v>
      </c>
      <c r="I33" s="1">
        <f t="shared" si="0"/>
        <v>125.66641919999998</v>
      </c>
      <c r="J33" s="1">
        <v>0.8</v>
      </c>
      <c r="K33" s="1">
        <v>0.01</v>
      </c>
      <c r="L33" s="1">
        <v>50</v>
      </c>
      <c r="M33" s="1">
        <f t="shared" si="1"/>
        <v>4000</v>
      </c>
      <c r="N33" s="1">
        <f t="shared" si="2"/>
        <v>31.830301407999382</v>
      </c>
    </row>
    <row r="34" spans="1:14" ht="14.25" customHeight="1" x14ac:dyDescent="0.2">
      <c r="A34" s="1">
        <v>3</v>
      </c>
      <c r="B34" s="1" t="s">
        <v>9</v>
      </c>
      <c r="C34" s="1" t="s">
        <v>10</v>
      </c>
      <c r="D34" s="2">
        <v>45574</v>
      </c>
      <c r="E34" s="3">
        <v>0.53402777777777777</v>
      </c>
      <c r="F34" s="1" t="s">
        <v>11</v>
      </c>
      <c r="G34" s="1">
        <v>1.4</v>
      </c>
      <c r="H34" s="1">
        <v>974.4</v>
      </c>
      <c r="I34" s="1">
        <f t="shared" si="0"/>
        <v>125.66641919999998</v>
      </c>
      <c r="J34" s="1">
        <v>0.8</v>
      </c>
      <c r="K34" s="1">
        <v>0.01</v>
      </c>
      <c r="L34" s="1">
        <v>57</v>
      </c>
      <c r="M34" s="1">
        <f t="shared" si="1"/>
        <v>4560</v>
      </c>
      <c r="N34" s="1">
        <f t="shared" si="2"/>
        <v>36.286543605119299</v>
      </c>
    </row>
    <row r="35" spans="1:14" ht="14.25" customHeight="1" x14ac:dyDescent="0.2">
      <c r="A35" s="1">
        <v>1</v>
      </c>
      <c r="B35" s="1" t="s">
        <v>9</v>
      </c>
      <c r="C35" s="1" t="s">
        <v>13</v>
      </c>
      <c r="D35" s="2">
        <v>45574</v>
      </c>
      <c r="E35" s="3">
        <v>0.5</v>
      </c>
      <c r="F35" s="1" t="s">
        <v>11</v>
      </c>
      <c r="G35" s="1">
        <v>1.1000000000000001</v>
      </c>
      <c r="H35" s="1">
        <v>1023.4</v>
      </c>
      <c r="I35" s="1">
        <f t="shared" si="0"/>
        <v>131.98585119999998</v>
      </c>
      <c r="J35" s="1">
        <v>0.3</v>
      </c>
      <c r="K35" s="1">
        <v>0.01</v>
      </c>
      <c r="L35" s="1">
        <v>69</v>
      </c>
      <c r="M35" s="1">
        <f t="shared" si="1"/>
        <v>2070</v>
      </c>
      <c r="N35" s="1">
        <f t="shared" si="2"/>
        <v>15.683499262836138</v>
      </c>
    </row>
    <row r="36" spans="1:14" ht="14.25" customHeight="1" x14ac:dyDescent="0.2">
      <c r="A36" s="1">
        <v>2</v>
      </c>
      <c r="B36" s="1" t="s">
        <v>9</v>
      </c>
      <c r="C36" s="1" t="s">
        <v>13</v>
      </c>
      <c r="D36" s="2">
        <v>45574</v>
      </c>
      <c r="E36" s="3">
        <v>0.5</v>
      </c>
      <c r="F36" s="1" t="s">
        <v>11</v>
      </c>
      <c r="G36" s="1">
        <v>1.1000000000000001</v>
      </c>
      <c r="H36" s="1">
        <v>1023.4</v>
      </c>
      <c r="I36" s="1">
        <f t="shared" si="0"/>
        <v>131.98585119999998</v>
      </c>
      <c r="J36" s="1">
        <v>0.3</v>
      </c>
      <c r="K36" s="1">
        <v>0.01</v>
      </c>
      <c r="L36" s="1">
        <v>45</v>
      </c>
      <c r="M36" s="1">
        <f t="shared" si="1"/>
        <v>1350</v>
      </c>
      <c r="N36" s="1">
        <f t="shared" si="2"/>
        <v>10.22836908445835</v>
      </c>
    </row>
    <row r="37" spans="1:14" ht="14.25" customHeight="1" x14ac:dyDescent="0.2">
      <c r="A37" s="1">
        <v>3</v>
      </c>
      <c r="B37" s="1" t="s">
        <v>9</v>
      </c>
      <c r="C37" s="1" t="s">
        <v>13</v>
      </c>
      <c r="D37" s="2">
        <v>45574</v>
      </c>
      <c r="E37" s="3">
        <v>0.5</v>
      </c>
      <c r="F37" s="1" t="s">
        <v>11</v>
      </c>
      <c r="G37" s="1">
        <v>1.1000000000000001</v>
      </c>
      <c r="H37" s="1">
        <v>1023.4</v>
      </c>
      <c r="I37" s="1">
        <f t="shared" si="0"/>
        <v>131.98585119999998</v>
      </c>
      <c r="J37" s="1">
        <v>0.3</v>
      </c>
      <c r="K37" s="1">
        <v>0.01</v>
      </c>
      <c r="L37" s="1">
        <v>62</v>
      </c>
      <c r="M37" s="1">
        <f t="shared" si="1"/>
        <v>1860</v>
      </c>
      <c r="N37" s="1">
        <f t="shared" si="2"/>
        <v>14.09241962747595</v>
      </c>
    </row>
    <row r="38" spans="1:14" ht="14.25" customHeight="1" x14ac:dyDescent="0.2">
      <c r="A38" s="1">
        <v>1</v>
      </c>
      <c r="B38" s="1" t="s">
        <v>9</v>
      </c>
      <c r="C38" s="1" t="s">
        <v>13</v>
      </c>
      <c r="D38" s="2">
        <v>45491</v>
      </c>
      <c r="F38" s="1" t="s">
        <v>11</v>
      </c>
      <c r="G38" s="1">
        <v>0.2</v>
      </c>
      <c r="H38" s="1">
        <v>880.6</v>
      </c>
      <c r="I38" s="1">
        <f t="shared" si="0"/>
        <v>113.5692208</v>
      </c>
      <c r="J38" s="1">
        <v>0.7</v>
      </c>
      <c r="K38" s="1">
        <v>0.01</v>
      </c>
      <c r="L38" s="1">
        <v>31</v>
      </c>
      <c r="M38" s="1">
        <f t="shared" si="1"/>
        <v>2170</v>
      </c>
      <c r="N38" s="1">
        <f t="shared" si="2"/>
        <v>19.107289675091263</v>
      </c>
    </row>
    <row r="39" spans="1:14" ht="14.25" customHeight="1" x14ac:dyDescent="0.2">
      <c r="A39" s="1">
        <v>2</v>
      </c>
      <c r="B39" s="1" t="s">
        <v>9</v>
      </c>
      <c r="C39" s="1" t="s">
        <v>13</v>
      </c>
      <c r="D39" s="2">
        <v>45491</v>
      </c>
      <c r="F39" s="1" t="s">
        <v>11</v>
      </c>
      <c r="G39" s="1">
        <v>0.2</v>
      </c>
      <c r="H39" s="1">
        <v>880.6</v>
      </c>
      <c r="I39" s="1">
        <f t="shared" si="0"/>
        <v>113.5692208</v>
      </c>
      <c r="J39" s="1">
        <v>0.7</v>
      </c>
      <c r="K39" s="1">
        <v>0.01</v>
      </c>
      <c r="L39" s="1">
        <v>31</v>
      </c>
      <c r="M39" s="1">
        <f t="shared" si="1"/>
        <v>2170</v>
      </c>
      <c r="N39" s="1">
        <f t="shared" si="2"/>
        <v>19.107289675091263</v>
      </c>
    </row>
    <row r="40" spans="1:14" ht="14.25" customHeight="1" x14ac:dyDescent="0.2">
      <c r="A40" s="1">
        <v>3</v>
      </c>
      <c r="B40" s="1" t="s">
        <v>9</v>
      </c>
      <c r="C40" s="1" t="s">
        <v>13</v>
      </c>
      <c r="D40" s="2">
        <v>45491</v>
      </c>
      <c r="F40" s="1" t="s">
        <v>11</v>
      </c>
      <c r="G40" s="1">
        <v>0.2</v>
      </c>
      <c r="H40" s="1">
        <v>880.6</v>
      </c>
      <c r="I40" s="1">
        <f t="shared" si="0"/>
        <v>113.5692208</v>
      </c>
      <c r="J40" s="1">
        <v>0.7</v>
      </c>
      <c r="K40" s="1">
        <v>0.01</v>
      </c>
      <c r="L40" s="1">
        <v>33</v>
      </c>
      <c r="M40" s="1">
        <f t="shared" si="1"/>
        <v>2310</v>
      </c>
      <c r="N40" s="1">
        <f t="shared" si="2"/>
        <v>20.340018041226184</v>
      </c>
    </row>
    <row r="41" spans="1:14" ht="14.25" customHeight="1" x14ac:dyDescent="0.2">
      <c r="A41" s="1">
        <v>1</v>
      </c>
      <c r="B41" s="1" t="s">
        <v>9</v>
      </c>
      <c r="C41" s="1" t="s">
        <v>10</v>
      </c>
      <c r="D41" s="2">
        <v>45491</v>
      </c>
      <c r="F41" s="1" t="s">
        <v>11</v>
      </c>
      <c r="G41" s="1">
        <v>0.2</v>
      </c>
      <c r="H41" s="1">
        <v>540.5</v>
      </c>
      <c r="I41" s="1">
        <f t="shared" si="0"/>
        <v>69.70720399999999</v>
      </c>
      <c r="J41" s="1">
        <v>0.5</v>
      </c>
      <c r="K41" s="1">
        <v>0.01</v>
      </c>
      <c r="L41" s="1">
        <v>100</v>
      </c>
      <c r="M41" s="1">
        <f t="shared" si="1"/>
        <v>5000</v>
      </c>
      <c r="N41" s="1">
        <f t="shared" si="2"/>
        <v>71.728597807480568</v>
      </c>
    </row>
    <row r="42" spans="1:14" ht="14.25" customHeight="1" x14ac:dyDescent="0.2">
      <c r="A42" s="1">
        <v>2</v>
      </c>
      <c r="B42" s="1" t="s">
        <v>9</v>
      </c>
      <c r="C42" s="1" t="s">
        <v>10</v>
      </c>
      <c r="D42" s="2">
        <v>45491</v>
      </c>
      <c r="F42" s="1" t="s">
        <v>11</v>
      </c>
      <c r="G42" s="1">
        <v>0.2</v>
      </c>
      <c r="H42" s="1">
        <v>540.5</v>
      </c>
      <c r="I42" s="1">
        <f t="shared" si="0"/>
        <v>69.70720399999999</v>
      </c>
      <c r="J42" s="1">
        <v>0.6</v>
      </c>
      <c r="K42" s="1">
        <v>0.01</v>
      </c>
      <c r="L42" s="1">
        <v>100</v>
      </c>
      <c r="M42" s="1">
        <f t="shared" si="1"/>
        <v>6000</v>
      </c>
      <c r="N42" s="1">
        <f t="shared" si="2"/>
        <v>86.074317368976679</v>
      </c>
    </row>
    <row r="43" spans="1:14" ht="14.25" customHeight="1" x14ac:dyDescent="0.2">
      <c r="A43" s="1">
        <v>3</v>
      </c>
      <c r="B43" s="1" t="s">
        <v>9</v>
      </c>
      <c r="C43" s="1" t="s">
        <v>10</v>
      </c>
      <c r="D43" s="2">
        <v>45491</v>
      </c>
      <c r="F43" s="1" t="s">
        <v>11</v>
      </c>
      <c r="G43" s="1">
        <v>0.2</v>
      </c>
      <c r="H43" s="1">
        <v>540.5</v>
      </c>
      <c r="I43" s="1">
        <f t="shared" si="0"/>
        <v>69.70720399999999</v>
      </c>
      <c r="J43" s="1">
        <v>0.6</v>
      </c>
      <c r="K43" s="1">
        <v>0.01</v>
      </c>
      <c r="L43" s="1">
        <v>88</v>
      </c>
      <c r="M43" s="1">
        <f t="shared" si="1"/>
        <v>5280</v>
      </c>
      <c r="N43" s="1">
        <f t="shared" si="2"/>
        <v>75.745399284699474</v>
      </c>
    </row>
    <row r="44" spans="1:14" ht="14.25" customHeight="1" x14ac:dyDescent="0.2"/>
    <row r="45" spans="1:14" ht="14.25" customHeight="1" x14ac:dyDescent="0.2"/>
    <row r="46" spans="1:14" ht="14.25" customHeight="1" x14ac:dyDescent="0.2"/>
    <row r="47" spans="1:14" ht="14.25" customHeight="1" x14ac:dyDescent="0.2"/>
    <row r="48" spans="1:1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Khadijah Homolka</cp:lastModifiedBy>
  <dcterms:modified xsi:type="dcterms:W3CDTF">2026-09-17T01:47:57Z</dcterms:modified>
</cp:coreProperties>
</file>